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NOVO\Downloads\PC4-Roman-Eduardo\excel\"/>
    </mc:Choice>
  </mc:AlternateContent>
  <xr:revisionPtr revIDLastSave="0" documentId="13_ncr:1_{EEB77506-19C3-4C84-8D32-90EF3792D9E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1 Carta np" sheetId="1" r:id="rId1"/>
    <sheet name="P2 Capacidad" sheetId="2" r:id="rId2"/>
    <sheet name="P3 Carta X-R" sheetId="3" r:id="rId3"/>
    <sheet name="P4 Analisis Critic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3" l="1"/>
  <c r="L18" i="3"/>
  <c r="G18" i="3"/>
  <c r="F18" i="3"/>
  <c r="L17" i="3"/>
  <c r="G17" i="3"/>
  <c r="F17" i="3"/>
  <c r="M17" i="3" s="1"/>
  <c r="L16" i="3"/>
  <c r="G16" i="3"/>
  <c r="F16" i="3"/>
  <c r="M16" i="3" s="1"/>
  <c r="L15" i="3"/>
  <c r="G15" i="3"/>
  <c r="F15" i="3"/>
  <c r="M15" i="3" s="1"/>
  <c r="L14" i="3"/>
  <c r="G14" i="3"/>
  <c r="F14" i="3"/>
  <c r="M14" i="3" s="1"/>
  <c r="L13" i="3"/>
  <c r="G13" i="3"/>
  <c r="F13" i="3"/>
  <c r="M13" i="3" s="1"/>
  <c r="L12" i="3"/>
  <c r="G12" i="3"/>
  <c r="F12" i="3"/>
  <c r="M12" i="3" s="1"/>
  <c r="L11" i="3"/>
  <c r="G11" i="3"/>
  <c r="F11" i="3"/>
  <c r="M11" i="3" s="1"/>
  <c r="L10" i="3"/>
  <c r="G10" i="3"/>
  <c r="F10" i="3"/>
  <c r="M10" i="3" s="1"/>
  <c r="L9" i="3"/>
  <c r="G9" i="3"/>
  <c r="F9" i="3"/>
  <c r="M9" i="3" s="1"/>
  <c r="L8" i="3"/>
  <c r="G8" i="3"/>
  <c r="F8" i="3"/>
  <c r="M8" i="3" s="1"/>
  <c r="L7" i="3"/>
  <c r="G7" i="3"/>
  <c r="F7" i="3"/>
  <c r="M7" i="3" s="1"/>
  <c r="M6" i="3"/>
  <c r="L6" i="3"/>
  <c r="G6" i="3"/>
  <c r="F6" i="3"/>
  <c r="L5" i="3"/>
  <c r="G5" i="3"/>
  <c r="F5" i="3"/>
  <c r="M5" i="3" s="1"/>
  <c r="M4" i="3"/>
  <c r="L4" i="3"/>
  <c r="G4" i="3"/>
  <c r="J9" i="3" s="1"/>
  <c r="F4" i="3"/>
  <c r="J8" i="3" s="1"/>
  <c r="C16" i="2"/>
  <c r="C14" i="2"/>
  <c r="C15" i="2" s="1"/>
  <c r="B21" i="2" s="1"/>
  <c r="C13" i="2"/>
  <c r="C12" i="2"/>
  <c r="K23" i="1"/>
  <c r="I23" i="1"/>
  <c r="K22" i="1"/>
  <c r="I22" i="1"/>
  <c r="I21" i="1"/>
  <c r="I20" i="1"/>
  <c r="K19" i="1"/>
  <c r="I19" i="1"/>
  <c r="K18" i="1"/>
  <c r="I18" i="1"/>
  <c r="I17" i="1"/>
  <c r="I16" i="1"/>
  <c r="K15" i="1"/>
  <c r="I15" i="1"/>
  <c r="K14" i="1"/>
  <c r="I14" i="1"/>
  <c r="I13" i="1"/>
  <c r="I12" i="1"/>
  <c r="K11" i="1"/>
  <c r="I11" i="1"/>
  <c r="K10" i="1"/>
  <c r="I10" i="1"/>
  <c r="E10" i="1"/>
  <c r="K21" i="1" s="1"/>
  <c r="I9" i="1"/>
  <c r="K8" i="1"/>
  <c r="I8" i="1"/>
  <c r="K7" i="1"/>
  <c r="I7" i="1"/>
  <c r="E7" i="1"/>
  <c r="E8" i="1" s="1"/>
  <c r="I6" i="1"/>
  <c r="F6" i="1"/>
  <c r="E6" i="1"/>
  <c r="E9" i="1" s="1"/>
  <c r="K5" i="1"/>
  <c r="I5" i="1"/>
  <c r="E5" i="1"/>
  <c r="K4" i="1"/>
  <c r="I4" i="1"/>
  <c r="J12" i="3" l="1"/>
  <c r="J10" i="3"/>
  <c r="J11" i="3"/>
  <c r="L21" i="1"/>
  <c r="L17" i="1"/>
  <c r="L13" i="1"/>
  <c r="L6" i="1"/>
  <c r="L18" i="1"/>
  <c r="L9" i="1"/>
  <c r="L7" i="1"/>
  <c r="L4" i="1"/>
  <c r="L22" i="1"/>
  <c r="L20" i="1"/>
  <c r="L16" i="1"/>
  <c r="L12" i="1"/>
  <c r="L8" i="1"/>
  <c r="L5" i="1"/>
  <c r="L14" i="1"/>
  <c r="L23" i="1"/>
  <c r="L19" i="1"/>
  <c r="L15" i="1"/>
  <c r="L11" i="1"/>
  <c r="L10" i="1"/>
  <c r="B20" i="2"/>
  <c r="J14" i="3"/>
  <c r="J15" i="3"/>
  <c r="J13" i="3"/>
  <c r="J22" i="1"/>
  <c r="J9" i="1"/>
  <c r="J4" i="1"/>
  <c r="J10" i="1"/>
  <c r="J21" i="1"/>
  <c r="J17" i="1"/>
  <c r="J13" i="1"/>
  <c r="J6" i="1"/>
  <c r="J14" i="1"/>
  <c r="J7" i="1"/>
  <c r="J20" i="1"/>
  <c r="J16" i="1"/>
  <c r="J12" i="1"/>
  <c r="J19" i="1"/>
  <c r="J18" i="1"/>
  <c r="J8" i="1"/>
  <c r="J5" i="1"/>
  <c r="J23" i="1"/>
  <c r="J15" i="1"/>
  <c r="J11" i="1"/>
  <c r="K12" i="1"/>
  <c r="K16" i="1"/>
  <c r="K20" i="1"/>
  <c r="K9" i="1"/>
  <c r="K6" i="1"/>
  <c r="K13" i="1"/>
  <c r="K17" i="1"/>
  <c r="N16" i="3" l="1"/>
  <c r="N13" i="3"/>
  <c r="N14" i="3"/>
  <c r="N18" i="3"/>
  <c r="N15" i="3"/>
  <c r="N8" i="3"/>
  <c r="N5" i="3"/>
  <c r="N11" i="3"/>
  <c r="N9" i="3"/>
  <c r="N7" i="3"/>
  <c r="N10" i="3"/>
  <c r="N17" i="3"/>
  <c r="N4" i="3"/>
  <c r="N6" i="3"/>
  <c r="N12" i="3"/>
  <c r="P18" i="3"/>
  <c r="P16" i="3"/>
  <c r="P5" i="3"/>
  <c r="P12" i="3"/>
  <c r="P4" i="3"/>
  <c r="P8" i="3"/>
  <c r="P15" i="3"/>
  <c r="P13" i="3"/>
  <c r="P11" i="3"/>
  <c r="P9" i="3"/>
  <c r="P7" i="3"/>
  <c r="P17" i="3"/>
  <c r="P10" i="3"/>
  <c r="P6" i="3"/>
  <c r="P14" i="3"/>
  <c r="O6" i="3"/>
  <c r="O10" i="3"/>
  <c r="O16" i="3"/>
  <c r="O18" i="3"/>
  <c r="O4" i="3"/>
  <c r="O12" i="3"/>
  <c r="O5" i="3"/>
  <c r="O15" i="3"/>
  <c r="O14" i="3"/>
  <c r="O13" i="3"/>
  <c r="O11" i="3"/>
  <c r="O9" i="3"/>
  <c r="O7" i="3"/>
  <c r="O8" i="3"/>
  <c r="O17" i="3"/>
</calcChain>
</file>

<file path=xl/sharedStrings.xml><?xml version="1.0" encoding="utf-8"?>
<sst xmlns="http://schemas.openxmlformats.org/spreadsheetml/2006/main" count="79" uniqueCount="70">
  <si>
    <t>PROBLEMA 1 — Discos duros fallidos por rack (carta np, n=240 constante)</t>
  </si>
  <si>
    <t>Rack</t>
  </si>
  <si>
    <t>Discos fallidos</t>
  </si>
  <si>
    <t>Parámetro</t>
  </si>
  <si>
    <t>Valor</t>
  </si>
  <si>
    <t>Fórmula</t>
  </si>
  <si>
    <t>Fallidos</t>
  </si>
  <si>
    <t>UCL</t>
  </si>
  <si>
    <t>CL(np̄)</t>
  </si>
  <si>
    <t>LCL</t>
  </si>
  <si>
    <t>n (tamaño de muestra por rack)</t>
  </si>
  <si>
    <t>k (número de racks)</t>
  </si>
  <si>
    <t>np̄ (promedio de defectuosos)</t>
  </si>
  <si>
    <t>p̄ = np̄ / n</t>
  </si>
  <si>
    <t>UCL = np̄ + 3·SQRT(np̄·(1-p̄))</t>
  </si>
  <si>
    <t>LCL = MAX(0, np̄ - 3·SQRT(np̄·(1-p̄)))</t>
  </si>
  <si>
    <t>CL = np̄</t>
  </si>
  <si>
    <t>PROBLEMA 2 — Tiempo de respuesta de servidor (capacidad + índice Taguchi)</t>
  </si>
  <si>
    <t>Estadístico</t>
  </si>
  <si>
    <t>Media (X̄)</t>
  </si>
  <si>
    <t>Desv. estándar (s)</t>
  </si>
  <si>
    <t>n</t>
  </si>
  <si>
    <t>Target (T)</t>
  </si>
  <si>
    <t>LSL</t>
  </si>
  <si>
    <t>USL</t>
  </si>
  <si>
    <t>Índice</t>
  </si>
  <si>
    <t>Resultado</t>
  </si>
  <si>
    <t>Cp</t>
  </si>
  <si>
    <t>(USL-LSL)/(6·s)</t>
  </si>
  <si>
    <t>Cpl (Cpi)</t>
  </si>
  <si>
    <t>(X̄-LSL)/(3·s)</t>
  </si>
  <si>
    <t>Cpu (Cps)</t>
  </si>
  <si>
    <t>(USL-X̄)/(3·s)</t>
  </si>
  <si>
    <t>Cpk</t>
  </si>
  <si>
    <t>MIN(Cpu,Cpl)</t>
  </si>
  <si>
    <t>Cpm (Taguchi)</t>
  </si>
  <si>
    <t>(USL-LSL)/(6·SQRT(s²+(X̄-T)²))</t>
  </si>
  <si>
    <t>Diagnóstico rápido</t>
  </si>
  <si>
    <t>Cp vs Cpk</t>
  </si>
  <si>
    <t>Nivel de capacidad (Cpk)</t>
  </si>
  <si>
    <t>PROBLEMA 3 — Temperatura pasillo frío (carta X̄-R, n=4)</t>
  </si>
  <si>
    <t>Subgrupo</t>
  </si>
  <si>
    <t>X1</t>
  </si>
  <si>
    <t>X2</t>
  </si>
  <si>
    <t>X3</t>
  </si>
  <si>
    <t>X4</t>
  </si>
  <si>
    <t>X̄</t>
  </si>
  <si>
    <t>R</t>
  </si>
  <si>
    <t>CL</t>
  </si>
  <si>
    <t>n (tamaño subgrupo)</t>
  </si>
  <si>
    <t>A2 (n=4)</t>
  </si>
  <si>
    <t>D3 (n=4)</t>
  </si>
  <si>
    <t>D4 (n=4)</t>
  </si>
  <si>
    <t>X̿ (promedio de X̄)</t>
  </si>
  <si>
    <t>R̄ (promedio de R)</t>
  </si>
  <si>
    <t>UCL X̄ = X̿ + A2·R̄</t>
  </si>
  <si>
    <t>LCL X̄ = X̿ - A2·R̄</t>
  </si>
  <si>
    <t>CL X̄ = X̿</t>
  </si>
  <si>
    <t>UCL R = D4·R̄</t>
  </si>
  <si>
    <t>LCL R = D3·R̄</t>
  </si>
  <si>
    <t>CL R = R̄</t>
  </si>
  <si>
    <t>PROBLEMA 4 — Análisis conceptual (sin datos de carta a graficar)</t>
  </si>
  <si>
    <t>Sub-pregunta</t>
  </si>
  <si>
    <t>Respuesta breve</t>
  </si>
  <si>
    <t>1. ¿Cpk alto pero fuera de control?</t>
  </si>
  <si>
    <t>Sí. Cpk usa la variación 'within-subgroup' (corto plazo) contra los límites de especificación; no verifica si el proceso está estadísticamente estable. Un servidor puede tener toda su variación dentro de LSL/USL (Cpk alto) y aun así mostrar una tendencia, tener un punto fuera de los límites de control, o rachas — es decir, causas especiales activas que Cpk no detecta porque solo compara dispersión vs. spec, no estabilidad en el tiempo.</t>
  </si>
  <si>
    <t>2. Corto plazo (Cp/Cpk) vs largo plazo (Pp/Ppk)</t>
  </si>
  <si>
    <t>Cp/Cpk se calculan con la variación dentro de subgrupo (within), asumiendo que el proceso está en control estadístico en el momento del estudio — capacidad potencial de corto plazo. Pp/Ppk usan la desviación estándar global (overall) de todos los datos, capturando también la variación entre subgrupos (deriva, cambios de turno, degradación gradual). Para un SLA de uptime frente a clientes empresariales conviene reportar Pp/Ppk porque el cliente experimenta la variación real acumulada a lo largo de meses, no la variación idealizada de un subgrupo aislado.</t>
  </si>
  <si>
    <t>3. Incidentes de seguridad por trimestre: ¿c o I-MR?</t>
  </si>
  <si>
    <t>Es un conteo de eventos raros (defectos) sin un denominador de 'éxito/fracaso' de tamaño fijo (no hay una base de 'n incidentes posibles por trimestre'), por lo que corresponde una carta c, no I-MR. I-MR asume una variable continua medida individualmente; aquí el dato es un conteo discreto de Poisson. Carta c: c̄=SUMA(incidentes)/k; UCL=c̄+3·RAIZ(c̄); LCL=MAX(0,c̄-3·RAIZ(c̄)).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</si>
</sst>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0" fontId="3" fillId="0" borderId="0" xfId="0" applyFont="1"/>
    <xf numFmtId="0" fontId="3" fillId="0" borderId="1" xfId="0" applyFont="1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Carta np — Discos fallidos por rack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'P1 Carta np'!$I$3</c:f>
              <c:strCache>
                <c:ptCount val="1"/>
                <c:pt idx="0">
                  <c:v>Fallidos</c:v>
                </c:pt>
              </c:strCache>
            </c:strRef>
          </c:tx>
          <c:spPr>
            <a:ln w="19050">
              <a:solidFill>
                <a:srgbClr val="2E5FA3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2E5FA3"/>
              </a:solidFill>
              <a:ln>
                <a:prstDash val="solid"/>
              </a:ln>
            </c:spPr>
          </c:marker>
          <c:cat>
            <c:numRef>
              <c:f>'P1 Carta np'!$H$4:$H$23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'P1 Carta np'!$I$4:$I$23</c:f>
              <c:numCache>
                <c:formatCode>General</c:formatCode>
                <c:ptCount val="20"/>
                <c:pt idx="0">
                  <c:v>3</c:v>
                </c:pt>
                <c:pt idx="1">
                  <c:v>5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4</c:v>
                </c:pt>
                <c:pt idx="8">
                  <c:v>7</c:v>
                </c:pt>
                <c:pt idx="9">
                  <c:v>3</c:v>
                </c:pt>
                <c:pt idx="10">
                  <c:v>4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4</c:v>
                </c:pt>
                <c:pt idx="15">
                  <c:v>5</c:v>
                </c:pt>
                <c:pt idx="16">
                  <c:v>3</c:v>
                </c:pt>
                <c:pt idx="17">
                  <c:v>4</c:v>
                </c:pt>
                <c:pt idx="18">
                  <c:v>6</c:v>
                </c:pt>
                <c:pt idx="19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F8-499A-B937-324C32E532BA}"/>
            </c:ext>
          </c:extLst>
        </c:ser>
        <c:ser>
          <c:idx val="1"/>
          <c:order val="1"/>
          <c:tx>
            <c:strRef>
              <c:f>'P1 Carta np'!$J$3</c:f>
              <c:strCache>
                <c:ptCount val="1"/>
                <c:pt idx="0">
                  <c:v>UCL</c:v>
                </c:pt>
              </c:strCache>
            </c:strRef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numRef>
              <c:f>'P1 Carta np'!$H$4:$H$23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'P1 Carta np'!$J$4:$J$23</c:f>
              <c:numCache>
                <c:formatCode>General</c:formatCode>
                <c:ptCount val="20"/>
                <c:pt idx="0">
                  <c:v>10.464951338007463</c:v>
                </c:pt>
                <c:pt idx="1">
                  <c:v>10.464951338007463</c:v>
                </c:pt>
                <c:pt idx="2">
                  <c:v>10.464951338007463</c:v>
                </c:pt>
                <c:pt idx="3">
                  <c:v>10.464951338007463</c:v>
                </c:pt>
                <c:pt idx="4">
                  <c:v>10.464951338007463</c:v>
                </c:pt>
                <c:pt idx="5">
                  <c:v>10.464951338007463</c:v>
                </c:pt>
                <c:pt idx="6">
                  <c:v>10.464951338007463</c:v>
                </c:pt>
                <c:pt idx="7">
                  <c:v>10.464951338007463</c:v>
                </c:pt>
                <c:pt idx="8">
                  <c:v>10.464951338007463</c:v>
                </c:pt>
                <c:pt idx="9">
                  <c:v>10.464951338007463</c:v>
                </c:pt>
                <c:pt idx="10">
                  <c:v>10.464951338007463</c:v>
                </c:pt>
                <c:pt idx="11">
                  <c:v>10.464951338007463</c:v>
                </c:pt>
                <c:pt idx="12">
                  <c:v>10.464951338007463</c:v>
                </c:pt>
                <c:pt idx="13">
                  <c:v>10.464951338007463</c:v>
                </c:pt>
                <c:pt idx="14">
                  <c:v>10.464951338007463</c:v>
                </c:pt>
                <c:pt idx="15">
                  <c:v>10.464951338007463</c:v>
                </c:pt>
                <c:pt idx="16">
                  <c:v>10.464951338007463</c:v>
                </c:pt>
                <c:pt idx="17">
                  <c:v>10.464951338007463</c:v>
                </c:pt>
                <c:pt idx="18">
                  <c:v>10.464951338007463</c:v>
                </c:pt>
                <c:pt idx="19">
                  <c:v>10.464951338007463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F8-499A-B937-324C32E532BA}"/>
            </c:ext>
          </c:extLst>
        </c:ser>
        <c:ser>
          <c:idx val="2"/>
          <c:order val="2"/>
          <c:tx>
            <c:strRef>
              <c:f>'P1 Carta np'!$K$3</c:f>
              <c:strCache>
                <c:ptCount val="1"/>
                <c:pt idx="0">
                  <c:v>CL(np̄)</c:v>
                </c:pt>
              </c:strCache>
            </c:strRef>
          </c:tx>
          <c:spPr>
            <a:ln w="15875">
              <a:solidFill>
                <a:srgbClr val="1F7A4C"/>
              </a:solidFill>
              <a:prstDash val="solid"/>
            </a:ln>
          </c:spPr>
          <c:marker>
            <c:symbol val="none"/>
          </c:marker>
          <c:cat>
            <c:numRef>
              <c:f>'P1 Carta np'!$H$4:$H$23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'P1 Carta np'!$K$4:$K$23</c:f>
              <c:numCache>
                <c:formatCode>General</c:formatCode>
                <c:ptCount val="20"/>
                <c:pt idx="0">
                  <c:v>4.3</c:v>
                </c:pt>
                <c:pt idx="1">
                  <c:v>4.3</c:v>
                </c:pt>
                <c:pt idx="2">
                  <c:v>4.3</c:v>
                </c:pt>
                <c:pt idx="3">
                  <c:v>4.3</c:v>
                </c:pt>
                <c:pt idx="4">
                  <c:v>4.3</c:v>
                </c:pt>
                <c:pt idx="5">
                  <c:v>4.3</c:v>
                </c:pt>
                <c:pt idx="6">
                  <c:v>4.3</c:v>
                </c:pt>
                <c:pt idx="7">
                  <c:v>4.3</c:v>
                </c:pt>
                <c:pt idx="8">
                  <c:v>4.3</c:v>
                </c:pt>
                <c:pt idx="9">
                  <c:v>4.3</c:v>
                </c:pt>
                <c:pt idx="10">
                  <c:v>4.3</c:v>
                </c:pt>
                <c:pt idx="11">
                  <c:v>4.3</c:v>
                </c:pt>
                <c:pt idx="12">
                  <c:v>4.3</c:v>
                </c:pt>
                <c:pt idx="13">
                  <c:v>4.3</c:v>
                </c:pt>
                <c:pt idx="14">
                  <c:v>4.3</c:v>
                </c:pt>
                <c:pt idx="15">
                  <c:v>4.3</c:v>
                </c:pt>
                <c:pt idx="16">
                  <c:v>4.3</c:v>
                </c:pt>
                <c:pt idx="17">
                  <c:v>4.3</c:v>
                </c:pt>
                <c:pt idx="18">
                  <c:v>4.3</c:v>
                </c:pt>
                <c:pt idx="19">
                  <c:v>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F8-499A-B937-324C32E532BA}"/>
            </c:ext>
          </c:extLst>
        </c:ser>
        <c:ser>
          <c:idx val="3"/>
          <c:order val="3"/>
          <c:tx>
            <c:strRef>
              <c:f>'P1 Carta np'!$L$3</c:f>
              <c:strCache>
                <c:ptCount val="1"/>
                <c:pt idx="0">
                  <c:v>LCL</c:v>
                </c:pt>
              </c:strCache>
            </c:strRef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numRef>
              <c:f>'P1 Carta np'!$H$4:$H$23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'P1 Carta np'!$L$4:$L$23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F8-499A-B937-324C32E53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Rack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Discos fallidos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Índices de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'P2 Capacidad'!$C$11</c:f>
              <c:strCache>
                <c:ptCount val="1"/>
                <c:pt idx="0">
                  <c:v>Resultado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'P2 Capacidad'!$A$12:$A$16</c:f>
              <c:strCache>
                <c:ptCount val="5"/>
                <c:pt idx="0">
                  <c:v>Cp</c:v>
                </c:pt>
                <c:pt idx="1">
                  <c:v>Cpl (Cpi)</c:v>
                </c:pt>
                <c:pt idx="2">
                  <c:v>Cpu (Cps)</c:v>
                </c:pt>
                <c:pt idx="3">
                  <c:v>Cpk</c:v>
                </c:pt>
                <c:pt idx="4">
                  <c:v>Cpm (Taguchi)</c:v>
                </c:pt>
              </c:strCache>
            </c:strRef>
          </c:cat>
          <c:val>
            <c:numRef>
              <c:f>'P2 Capacidad'!$C$12:$C$16</c:f>
              <c:numCache>
                <c:formatCode>General</c:formatCode>
                <c:ptCount val="5"/>
                <c:pt idx="0">
                  <c:v>0.92592592592592593</c:v>
                </c:pt>
                <c:pt idx="1">
                  <c:v>1.0185185185185186</c:v>
                </c:pt>
                <c:pt idx="2">
                  <c:v>0.83333333333333337</c:v>
                </c:pt>
                <c:pt idx="3">
                  <c:v>0.83333333333333337</c:v>
                </c:pt>
                <c:pt idx="4">
                  <c:v>0.89214621262031535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1-4EA3-9D14-D0D18873FD2F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Carta X̄ — Temperatura pasillo frío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'P3 Carta X-R'!$M$3</c:f>
              <c:strCache>
                <c:ptCount val="1"/>
                <c:pt idx="0">
                  <c:v>X̄</c:v>
                </c:pt>
              </c:strCache>
            </c:strRef>
          </c:tx>
          <c:spPr>
            <a:ln w="19050">
              <a:solidFill>
                <a:srgbClr val="2E5FA3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2E5FA3"/>
              </a:solidFill>
              <a:ln>
                <a:prstDash val="solid"/>
              </a:ln>
            </c:spPr>
          </c:marker>
          <c:cat>
            <c:numRef>
              <c:f>'P3 Carta X-R'!$L$4:$L$18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cat>
          <c:val>
            <c:numRef>
              <c:f>'P3 Carta X-R'!$M$4:$M$18</c:f>
              <c:numCache>
                <c:formatCode>General</c:formatCode>
                <c:ptCount val="15"/>
                <c:pt idx="0">
                  <c:v>21.950000000000003</c:v>
                </c:pt>
                <c:pt idx="1">
                  <c:v>22</c:v>
                </c:pt>
                <c:pt idx="2">
                  <c:v>21.974999999999998</c:v>
                </c:pt>
                <c:pt idx="3">
                  <c:v>22.05</c:v>
                </c:pt>
                <c:pt idx="4">
                  <c:v>22.075000000000003</c:v>
                </c:pt>
                <c:pt idx="5">
                  <c:v>22.249999999999996</c:v>
                </c:pt>
                <c:pt idx="6">
                  <c:v>22.250000000000004</c:v>
                </c:pt>
                <c:pt idx="7">
                  <c:v>22.549999999999997</c:v>
                </c:pt>
                <c:pt idx="8">
                  <c:v>22.45</c:v>
                </c:pt>
                <c:pt idx="9">
                  <c:v>22.749999999999996</c:v>
                </c:pt>
                <c:pt idx="10">
                  <c:v>22.55</c:v>
                </c:pt>
                <c:pt idx="11">
                  <c:v>22.85</c:v>
                </c:pt>
                <c:pt idx="12">
                  <c:v>22.95</c:v>
                </c:pt>
                <c:pt idx="13">
                  <c:v>23.049999999999997</c:v>
                </c:pt>
                <c:pt idx="14">
                  <c:v>23.150000000000002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5D-41CC-A372-263CA74F59AE}"/>
            </c:ext>
          </c:extLst>
        </c:ser>
        <c:ser>
          <c:idx val="1"/>
          <c:order val="1"/>
          <c:tx>
            <c:strRef>
              <c:f>'P3 Carta X-R'!$N$3</c:f>
              <c:strCache>
                <c:ptCount val="1"/>
                <c:pt idx="0">
                  <c:v>UCL</c:v>
                </c:pt>
              </c:strCache>
            </c:strRef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numRef>
              <c:f>'P3 Carta X-R'!$L$4:$L$18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cat>
          <c:val>
            <c:numRef>
              <c:f>'P3 Carta X-R'!$N$4:$N$18</c:f>
              <c:numCache>
                <c:formatCode>General</c:formatCode>
                <c:ptCount val="15"/>
                <c:pt idx="0">
                  <c:v>22.680226666666663</c:v>
                </c:pt>
                <c:pt idx="1">
                  <c:v>22.680226666666663</c:v>
                </c:pt>
                <c:pt idx="2">
                  <c:v>22.680226666666663</c:v>
                </c:pt>
                <c:pt idx="3">
                  <c:v>22.680226666666663</c:v>
                </c:pt>
                <c:pt idx="4">
                  <c:v>22.680226666666663</c:v>
                </c:pt>
                <c:pt idx="5">
                  <c:v>22.680226666666663</c:v>
                </c:pt>
                <c:pt idx="6">
                  <c:v>22.680226666666663</c:v>
                </c:pt>
                <c:pt idx="7">
                  <c:v>22.680226666666663</c:v>
                </c:pt>
                <c:pt idx="8">
                  <c:v>22.680226666666663</c:v>
                </c:pt>
                <c:pt idx="9">
                  <c:v>22.680226666666663</c:v>
                </c:pt>
                <c:pt idx="10">
                  <c:v>22.680226666666663</c:v>
                </c:pt>
                <c:pt idx="11">
                  <c:v>22.680226666666663</c:v>
                </c:pt>
                <c:pt idx="12">
                  <c:v>22.680226666666663</c:v>
                </c:pt>
                <c:pt idx="13">
                  <c:v>22.680226666666663</c:v>
                </c:pt>
                <c:pt idx="14">
                  <c:v>22.680226666666663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5D-41CC-A372-263CA74F59AE}"/>
            </c:ext>
          </c:extLst>
        </c:ser>
        <c:ser>
          <c:idx val="2"/>
          <c:order val="2"/>
          <c:tx>
            <c:strRef>
              <c:f>'P3 Carta X-R'!$O$3</c:f>
              <c:strCache>
                <c:ptCount val="1"/>
                <c:pt idx="0">
                  <c:v>CL</c:v>
                </c:pt>
              </c:strCache>
            </c:strRef>
          </c:tx>
          <c:spPr>
            <a:ln w="15875">
              <a:solidFill>
                <a:srgbClr val="1F7A4C"/>
              </a:solidFill>
              <a:prstDash val="solid"/>
            </a:ln>
          </c:spPr>
          <c:marker>
            <c:symbol val="none"/>
          </c:marker>
          <c:cat>
            <c:numRef>
              <c:f>'P3 Carta X-R'!$L$4:$L$18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cat>
          <c:val>
            <c:numRef>
              <c:f>'P3 Carta X-R'!$O$4:$O$18</c:f>
              <c:numCache>
                <c:formatCode>General</c:formatCode>
                <c:ptCount val="15"/>
                <c:pt idx="0">
                  <c:v>22.456666666666663</c:v>
                </c:pt>
                <c:pt idx="1">
                  <c:v>22.456666666666663</c:v>
                </c:pt>
                <c:pt idx="2">
                  <c:v>22.456666666666663</c:v>
                </c:pt>
                <c:pt idx="3">
                  <c:v>22.456666666666663</c:v>
                </c:pt>
                <c:pt idx="4">
                  <c:v>22.456666666666663</c:v>
                </c:pt>
                <c:pt idx="5">
                  <c:v>22.456666666666663</c:v>
                </c:pt>
                <c:pt idx="6">
                  <c:v>22.456666666666663</c:v>
                </c:pt>
                <c:pt idx="7">
                  <c:v>22.456666666666663</c:v>
                </c:pt>
                <c:pt idx="8">
                  <c:v>22.456666666666663</c:v>
                </c:pt>
                <c:pt idx="9">
                  <c:v>22.456666666666663</c:v>
                </c:pt>
                <c:pt idx="10">
                  <c:v>22.456666666666663</c:v>
                </c:pt>
                <c:pt idx="11">
                  <c:v>22.456666666666663</c:v>
                </c:pt>
                <c:pt idx="12">
                  <c:v>22.456666666666663</c:v>
                </c:pt>
                <c:pt idx="13">
                  <c:v>22.456666666666663</c:v>
                </c:pt>
                <c:pt idx="14">
                  <c:v>22.456666666666663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5D-41CC-A372-263CA74F59AE}"/>
            </c:ext>
          </c:extLst>
        </c:ser>
        <c:ser>
          <c:idx val="3"/>
          <c:order val="3"/>
          <c:tx>
            <c:strRef>
              <c:f>'P3 Carta X-R'!$P$3</c:f>
              <c:strCache>
                <c:ptCount val="1"/>
                <c:pt idx="0">
                  <c:v>LCL</c:v>
                </c:pt>
              </c:strCache>
            </c:strRef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numRef>
              <c:f>'P3 Carta X-R'!$L$4:$L$18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cat>
          <c:val>
            <c:numRef>
              <c:f>'P3 Carta X-R'!$P$4:$P$18</c:f>
              <c:numCache>
                <c:formatCode>General</c:formatCode>
                <c:ptCount val="15"/>
                <c:pt idx="0">
                  <c:v>22.233106666666664</c:v>
                </c:pt>
                <c:pt idx="1">
                  <c:v>22.233106666666664</c:v>
                </c:pt>
                <c:pt idx="2">
                  <c:v>22.233106666666664</c:v>
                </c:pt>
                <c:pt idx="3">
                  <c:v>22.233106666666664</c:v>
                </c:pt>
                <c:pt idx="4">
                  <c:v>22.233106666666664</c:v>
                </c:pt>
                <c:pt idx="5">
                  <c:v>22.233106666666664</c:v>
                </c:pt>
                <c:pt idx="6">
                  <c:v>22.233106666666664</c:v>
                </c:pt>
                <c:pt idx="7">
                  <c:v>22.233106666666664</c:v>
                </c:pt>
                <c:pt idx="8">
                  <c:v>22.233106666666664</c:v>
                </c:pt>
                <c:pt idx="9">
                  <c:v>22.233106666666664</c:v>
                </c:pt>
                <c:pt idx="10">
                  <c:v>22.233106666666664</c:v>
                </c:pt>
                <c:pt idx="11">
                  <c:v>22.233106666666664</c:v>
                </c:pt>
                <c:pt idx="12">
                  <c:v>22.233106666666664</c:v>
                </c:pt>
                <c:pt idx="13">
                  <c:v>22.233106666666664</c:v>
                </c:pt>
                <c:pt idx="14">
                  <c:v>22.233106666666664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5D-41CC-A372-263CA74F5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Subgrupo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°C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289560</xdr:colOff>
      <xdr:row>24</xdr:row>
      <xdr:rowOff>91440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16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topLeftCell="A3" workbookViewId="0">
      <selection activeCell="E15" sqref="E15"/>
    </sheetView>
  </sheetViews>
  <sheetFormatPr baseColWidth="10" defaultColWidth="8.88671875" defaultRowHeight="14.4" x14ac:dyDescent="0.3"/>
  <cols>
    <col min="1" max="1" width="8" customWidth="1"/>
    <col min="2" max="2" width="16" customWidth="1"/>
    <col min="3" max="3" width="8" customWidth="1"/>
    <col min="4" max="5" width="32" customWidth="1"/>
    <col min="6" max="6" width="10" customWidth="1"/>
    <col min="7" max="7" width="4" customWidth="1"/>
    <col min="8" max="8" width="8" customWidth="1"/>
    <col min="9" max="12" width="10" customWidth="1"/>
  </cols>
  <sheetData>
    <row r="1" spans="1:12" ht="18" x14ac:dyDescent="0.35">
      <c r="A1" s="1" t="s">
        <v>0</v>
      </c>
    </row>
    <row r="3" spans="1:12" x14ac:dyDescent="0.3">
      <c r="A3" s="2" t="s">
        <v>1</v>
      </c>
      <c r="B3" s="2" t="s">
        <v>2</v>
      </c>
      <c r="D3" s="2" t="s">
        <v>3</v>
      </c>
      <c r="E3" s="2" t="s">
        <v>4</v>
      </c>
      <c r="F3" s="2" t="s">
        <v>5</v>
      </c>
      <c r="H3" s="2" t="s">
        <v>1</v>
      </c>
      <c r="I3" s="2" t="s">
        <v>6</v>
      </c>
      <c r="J3" s="2" t="s">
        <v>7</v>
      </c>
      <c r="K3" s="2" t="s">
        <v>8</v>
      </c>
      <c r="L3" s="2" t="s">
        <v>9</v>
      </c>
    </row>
    <row r="4" spans="1:12" x14ac:dyDescent="0.3">
      <c r="A4" s="3">
        <v>1</v>
      </c>
      <c r="B4" s="3">
        <v>3</v>
      </c>
      <c r="D4" s="4" t="s">
        <v>10</v>
      </c>
      <c r="E4">
        <v>240</v>
      </c>
      <c r="H4" s="3">
        <v>1</v>
      </c>
      <c r="I4" s="3">
        <f t="shared" ref="I4:I23" si="0">B4</f>
        <v>3</v>
      </c>
      <c r="J4" s="3">
        <f t="shared" ref="J4:J23" si="1">$E$8</f>
        <v>10.464951338007463</v>
      </c>
      <c r="K4" s="3">
        <f t="shared" ref="K4:K23" si="2">$E$10</f>
        <v>4.3</v>
      </c>
      <c r="L4" s="3">
        <f t="shared" ref="L4:L23" si="3">$E$9</f>
        <v>0</v>
      </c>
    </row>
    <row r="5" spans="1:12" x14ac:dyDescent="0.3">
      <c r="A5" s="3">
        <v>2</v>
      </c>
      <c r="B5" s="3">
        <v>5</v>
      </c>
      <c r="D5" s="4" t="s">
        <v>11</v>
      </c>
      <c r="E5">
        <f>COUNT(A4:A23)</f>
        <v>20</v>
      </c>
      <c r="H5" s="3">
        <v>2</v>
      </c>
      <c r="I5" s="3">
        <f t="shared" si="0"/>
        <v>5</v>
      </c>
      <c r="J5" s="3">
        <f t="shared" si="1"/>
        <v>10.464951338007463</v>
      </c>
      <c r="K5" s="3">
        <f t="shared" si="2"/>
        <v>4.3</v>
      </c>
      <c r="L5" s="3">
        <f t="shared" si="3"/>
        <v>0</v>
      </c>
    </row>
    <row r="6" spans="1:12" x14ac:dyDescent="0.3">
      <c r="A6" s="3">
        <v>3</v>
      </c>
      <c r="B6" s="3">
        <v>2</v>
      </c>
      <c r="D6" s="4" t="s">
        <v>12</v>
      </c>
      <c r="E6">
        <f>AVERAGE(B4:B23)</f>
        <v>4.3</v>
      </c>
      <c r="F6">
        <f>AVERAGE(B4:B23)</f>
        <v>4.3</v>
      </c>
      <c r="H6" s="3">
        <v>3</v>
      </c>
      <c r="I6" s="3">
        <f t="shared" si="0"/>
        <v>2</v>
      </c>
      <c r="J6" s="3">
        <f t="shared" si="1"/>
        <v>10.464951338007463</v>
      </c>
      <c r="K6" s="3">
        <f t="shared" si="2"/>
        <v>4.3</v>
      </c>
      <c r="L6" s="3">
        <f t="shared" si="3"/>
        <v>0</v>
      </c>
    </row>
    <row r="7" spans="1:12" x14ac:dyDescent="0.3">
      <c r="A7" s="3">
        <v>4</v>
      </c>
      <c r="B7" s="3">
        <v>4</v>
      </c>
      <c r="D7" s="4" t="s">
        <v>13</v>
      </c>
      <c r="E7">
        <f>E6/E4</f>
        <v>1.7916666666666668E-2</v>
      </c>
      <c r="H7" s="3">
        <v>4</v>
      </c>
      <c r="I7" s="3">
        <f t="shared" si="0"/>
        <v>4</v>
      </c>
      <c r="J7" s="3">
        <f t="shared" si="1"/>
        <v>10.464951338007463</v>
      </c>
      <c r="K7" s="3">
        <f t="shared" si="2"/>
        <v>4.3</v>
      </c>
      <c r="L7" s="3">
        <f t="shared" si="3"/>
        <v>0</v>
      </c>
    </row>
    <row r="8" spans="1:12" x14ac:dyDescent="0.3">
      <c r="A8" s="3">
        <v>5</v>
      </c>
      <c r="B8" s="3">
        <v>6</v>
      </c>
      <c r="D8" s="4" t="s">
        <v>14</v>
      </c>
      <c r="E8">
        <f>E6+3*SQRT(E6*(1-E7))</f>
        <v>10.464951338007463</v>
      </c>
      <c r="H8" s="3">
        <v>5</v>
      </c>
      <c r="I8" s="3">
        <f t="shared" si="0"/>
        <v>6</v>
      </c>
      <c r="J8" s="3">
        <f t="shared" si="1"/>
        <v>10.464951338007463</v>
      </c>
      <c r="K8" s="3">
        <f t="shared" si="2"/>
        <v>4.3</v>
      </c>
      <c r="L8" s="3">
        <f t="shared" si="3"/>
        <v>0</v>
      </c>
    </row>
    <row r="9" spans="1:12" x14ac:dyDescent="0.3">
      <c r="A9" s="3">
        <v>6</v>
      </c>
      <c r="B9" s="3">
        <v>3</v>
      </c>
      <c r="D9" s="4" t="s">
        <v>15</v>
      </c>
      <c r="E9">
        <f>MAX(0,E6-3*SQRT(E6*(1-E7)))</f>
        <v>0</v>
      </c>
      <c r="H9" s="3">
        <v>6</v>
      </c>
      <c r="I9" s="3">
        <f t="shared" si="0"/>
        <v>3</v>
      </c>
      <c r="J9" s="3">
        <f t="shared" si="1"/>
        <v>10.464951338007463</v>
      </c>
      <c r="K9" s="3">
        <f t="shared" si="2"/>
        <v>4.3</v>
      </c>
      <c r="L9" s="3">
        <f t="shared" si="3"/>
        <v>0</v>
      </c>
    </row>
    <row r="10" spans="1:12" x14ac:dyDescent="0.3">
      <c r="A10" s="3">
        <v>7</v>
      </c>
      <c r="B10" s="3">
        <v>5</v>
      </c>
      <c r="D10" s="4" t="s">
        <v>16</v>
      </c>
      <c r="E10">
        <f>E6</f>
        <v>4.3</v>
      </c>
      <c r="H10" s="3">
        <v>7</v>
      </c>
      <c r="I10" s="3">
        <f t="shared" si="0"/>
        <v>5</v>
      </c>
      <c r="J10" s="3">
        <f t="shared" si="1"/>
        <v>10.464951338007463</v>
      </c>
      <c r="K10" s="3">
        <f t="shared" si="2"/>
        <v>4.3</v>
      </c>
      <c r="L10" s="3">
        <f t="shared" si="3"/>
        <v>0</v>
      </c>
    </row>
    <row r="11" spans="1:12" x14ac:dyDescent="0.3">
      <c r="A11" s="3">
        <v>8</v>
      </c>
      <c r="B11" s="3">
        <v>4</v>
      </c>
      <c r="H11" s="3">
        <v>8</v>
      </c>
      <c r="I11" s="3">
        <f t="shared" si="0"/>
        <v>4</v>
      </c>
      <c r="J11" s="3">
        <f t="shared" si="1"/>
        <v>10.464951338007463</v>
      </c>
      <c r="K11" s="3">
        <f t="shared" si="2"/>
        <v>4.3</v>
      </c>
      <c r="L11" s="3">
        <f t="shared" si="3"/>
        <v>0</v>
      </c>
    </row>
    <row r="12" spans="1:12" x14ac:dyDescent="0.3">
      <c r="A12" s="3">
        <v>9</v>
      </c>
      <c r="B12" s="3">
        <v>7</v>
      </c>
      <c r="H12" s="3">
        <v>9</v>
      </c>
      <c r="I12" s="3">
        <f t="shared" si="0"/>
        <v>7</v>
      </c>
      <c r="J12" s="3">
        <f t="shared" si="1"/>
        <v>10.464951338007463</v>
      </c>
      <c r="K12" s="3">
        <f t="shared" si="2"/>
        <v>4.3</v>
      </c>
      <c r="L12" s="3">
        <f t="shared" si="3"/>
        <v>0</v>
      </c>
    </row>
    <row r="13" spans="1:12" x14ac:dyDescent="0.3">
      <c r="A13" s="3">
        <v>10</v>
      </c>
      <c r="B13" s="3">
        <v>3</v>
      </c>
      <c r="H13" s="3">
        <v>10</v>
      </c>
      <c r="I13" s="3">
        <f t="shared" si="0"/>
        <v>3</v>
      </c>
      <c r="J13" s="3">
        <f t="shared" si="1"/>
        <v>10.464951338007463</v>
      </c>
      <c r="K13" s="3">
        <f t="shared" si="2"/>
        <v>4.3</v>
      </c>
      <c r="L13" s="3">
        <f t="shared" si="3"/>
        <v>0</v>
      </c>
    </row>
    <row r="14" spans="1:12" x14ac:dyDescent="0.3">
      <c r="A14" s="3">
        <v>11</v>
      </c>
      <c r="B14" s="3">
        <v>4</v>
      </c>
      <c r="H14" s="3">
        <v>11</v>
      </c>
      <c r="I14" s="3">
        <f t="shared" si="0"/>
        <v>4</v>
      </c>
      <c r="J14" s="3">
        <f t="shared" si="1"/>
        <v>10.464951338007463</v>
      </c>
      <c r="K14" s="3">
        <f t="shared" si="2"/>
        <v>4.3</v>
      </c>
      <c r="L14" s="3">
        <f t="shared" si="3"/>
        <v>0</v>
      </c>
    </row>
    <row r="15" spans="1:12" x14ac:dyDescent="0.3">
      <c r="A15" s="3">
        <v>12</v>
      </c>
      <c r="B15" s="3">
        <v>5</v>
      </c>
      <c r="H15" s="3">
        <v>12</v>
      </c>
      <c r="I15" s="3">
        <f t="shared" si="0"/>
        <v>5</v>
      </c>
      <c r="J15" s="3">
        <f t="shared" si="1"/>
        <v>10.464951338007463</v>
      </c>
      <c r="K15" s="3">
        <f t="shared" si="2"/>
        <v>4.3</v>
      </c>
      <c r="L15" s="3">
        <f t="shared" si="3"/>
        <v>0</v>
      </c>
    </row>
    <row r="16" spans="1:12" x14ac:dyDescent="0.3">
      <c r="A16" s="3">
        <v>13</v>
      </c>
      <c r="B16" s="3">
        <v>2</v>
      </c>
      <c r="H16" s="3">
        <v>13</v>
      </c>
      <c r="I16" s="3">
        <f t="shared" si="0"/>
        <v>2</v>
      </c>
      <c r="J16" s="3">
        <f t="shared" si="1"/>
        <v>10.464951338007463</v>
      </c>
      <c r="K16" s="3">
        <f t="shared" si="2"/>
        <v>4.3</v>
      </c>
      <c r="L16" s="3">
        <f t="shared" si="3"/>
        <v>0</v>
      </c>
    </row>
    <row r="17" spans="1:12" x14ac:dyDescent="0.3">
      <c r="A17" s="3">
        <v>14</v>
      </c>
      <c r="B17" s="3">
        <v>6</v>
      </c>
      <c r="H17" s="3">
        <v>14</v>
      </c>
      <c r="I17" s="3">
        <f t="shared" si="0"/>
        <v>6</v>
      </c>
      <c r="J17" s="3">
        <f t="shared" si="1"/>
        <v>10.464951338007463</v>
      </c>
      <c r="K17" s="3">
        <f t="shared" si="2"/>
        <v>4.3</v>
      </c>
      <c r="L17" s="3">
        <f t="shared" si="3"/>
        <v>0</v>
      </c>
    </row>
    <row r="18" spans="1:12" x14ac:dyDescent="0.3">
      <c r="A18" s="3">
        <v>15</v>
      </c>
      <c r="B18" s="3">
        <v>4</v>
      </c>
      <c r="H18" s="3">
        <v>15</v>
      </c>
      <c r="I18" s="3">
        <f t="shared" si="0"/>
        <v>4</v>
      </c>
      <c r="J18" s="3">
        <f t="shared" si="1"/>
        <v>10.464951338007463</v>
      </c>
      <c r="K18" s="3">
        <f t="shared" si="2"/>
        <v>4.3</v>
      </c>
      <c r="L18" s="3">
        <f t="shared" si="3"/>
        <v>0</v>
      </c>
    </row>
    <row r="19" spans="1:12" x14ac:dyDescent="0.3">
      <c r="A19" s="3">
        <v>16</v>
      </c>
      <c r="B19" s="3">
        <v>5</v>
      </c>
      <c r="H19" s="3">
        <v>16</v>
      </c>
      <c r="I19" s="3">
        <f t="shared" si="0"/>
        <v>5</v>
      </c>
      <c r="J19" s="3">
        <f t="shared" si="1"/>
        <v>10.464951338007463</v>
      </c>
      <c r="K19" s="3">
        <f t="shared" si="2"/>
        <v>4.3</v>
      </c>
      <c r="L19" s="3">
        <f t="shared" si="3"/>
        <v>0</v>
      </c>
    </row>
    <row r="20" spans="1:12" x14ac:dyDescent="0.3">
      <c r="A20" s="3">
        <v>17</v>
      </c>
      <c r="B20" s="3">
        <v>3</v>
      </c>
      <c r="H20" s="3">
        <v>17</v>
      </c>
      <c r="I20" s="3">
        <f t="shared" si="0"/>
        <v>3</v>
      </c>
      <c r="J20" s="3">
        <f t="shared" si="1"/>
        <v>10.464951338007463</v>
      </c>
      <c r="K20" s="3">
        <f t="shared" si="2"/>
        <v>4.3</v>
      </c>
      <c r="L20" s="3">
        <f t="shared" si="3"/>
        <v>0</v>
      </c>
    </row>
    <row r="21" spans="1:12" x14ac:dyDescent="0.3">
      <c r="A21" s="3">
        <v>18</v>
      </c>
      <c r="B21" s="3">
        <v>4</v>
      </c>
      <c r="H21" s="3">
        <v>18</v>
      </c>
      <c r="I21" s="3">
        <f t="shared" si="0"/>
        <v>4</v>
      </c>
      <c r="J21" s="3">
        <f t="shared" si="1"/>
        <v>10.464951338007463</v>
      </c>
      <c r="K21" s="3">
        <f t="shared" si="2"/>
        <v>4.3</v>
      </c>
      <c r="L21" s="3">
        <f t="shared" si="3"/>
        <v>0</v>
      </c>
    </row>
    <row r="22" spans="1:12" x14ac:dyDescent="0.3">
      <c r="A22" s="3">
        <v>19</v>
      </c>
      <c r="B22" s="3">
        <v>6</v>
      </c>
      <c r="H22" s="3">
        <v>19</v>
      </c>
      <c r="I22" s="3">
        <f t="shared" si="0"/>
        <v>6</v>
      </c>
      <c r="J22" s="3">
        <f t="shared" si="1"/>
        <v>10.464951338007463</v>
      </c>
      <c r="K22" s="3">
        <f t="shared" si="2"/>
        <v>4.3</v>
      </c>
      <c r="L22" s="3">
        <f t="shared" si="3"/>
        <v>0</v>
      </c>
    </row>
    <row r="23" spans="1:12" x14ac:dyDescent="0.3">
      <c r="A23" s="3">
        <v>20</v>
      </c>
      <c r="B23" s="3">
        <v>5</v>
      </c>
      <c r="H23" s="3">
        <v>20</v>
      </c>
      <c r="I23" s="3">
        <f t="shared" si="0"/>
        <v>5</v>
      </c>
      <c r="J23" s="3">
        <f t="shared" si="1"/>
        <v>10.464951338007463</v>
      </c>
      <c r="K23" s="3">
        <f t="shared" si="2"/>
        <v>4.3</v>
      </c>
      <c r="L23" s="3">
        <f t="shared" si="3"/>
        <v>0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"/>
  <sheetViews>
    <sheetView workbookViewId="0"/>
  </sheetViews>
  <sheetFormatPr baseColWidth="10" defaultColWidth="8.88671875" defaultRowHeight="14.4" x14ac:dyDescent="0.3"/>
  <cols>
    <col min="1" max="1" width="22" customWidth="1"/>
    <col min="2" max="2" width="42" customWidth="1"/>
    <col min="3" max="3" width="14" customWidth="1"/>
  </cols>
  <sheetData>
    <row r="1" spans="1:3" ht="18" x14ac:dyDescent="0.35">
      <c r="A1" s="1" t="s">
        <v>17</v>
      </c>
    </row>
    <row r="3" spans="1:3" x14ac:dyDescent="0.3">
      <c r="A3" s="2" t="s">
        <v>18</v>
      </c>
      <c r="B3" s="2" t="s">
        <v>4</v>
      </c>
    </row>
    <row r="4" spans="1:3" x14ac:dyDescent="0.3">
      <c r="A4" s="4" t="s">
        <v>19</v>
      </c>
      <c r="B4" s="3">
        <v>105</v>
      </c>
    </row>
    <row r="5" spans="1:3" x14ac:dyDescent="0.3">
      <c r="A5" s="4" t="s">
        <v>20</v>
      </c>
      <c r="B5" s="3">
        <v>18</v>
      </c>
    </row>
    <row r="6" spans="1:3" x14ac:dyDescent="0.3">
      <c r="A6" s="4" t="s">
        <v>21</v>
      </c>
      <c r="B6" s="3">
        <v>180</v>
      </c>
    </row>
    <row r="7" spans="1:3" x14ac:dyDescent="0.3">
      <c r="A7" s="4" t="s">
        <v>22</v>
      </c>
      <c r="B7" s="3">
        <v>100</v>
      </c>
    </row>
    <row r="8" spans="1:3" x14ac:dyDescent="0.3">
      <c r="A8" s="4" t="s">
        <v>23</v>
      </c>
      <c r="B8" s="3">
        <v>50</v>
      </c>
    </row>
    <row r="9" spans="1:3" x14ac:dyDescent="0.3">
      <c r="A9" s="4" t="s">
        <v>24</v>
      </c>
      <c r="B9" s="3">
        <v>150</v>
      </c>
    </row>
    <row r="11" spans="1:3" x14ac:dyDescent="0.3">
      <c r="A11" s="2" t="s">
        <v>25</v>
      </c>
      <c r="B11" s="2" t="s">
        <v>5</v>
      </c>
      <c r="C11" s="2" t="s">
        <v>26</v>
      </c>
    </row>
    <row r="12" spans="1:3" x14ac:dyDescent="0.3">
      <c r="A12" s="5" t="s">
        <v>27</v>
      </c>
      <c r="B12" s="3" t="s">
        <v>28</v>
      </c>
      <c r="C12" s="3">
        <f>((B9)-(B8))/(6*B5)</f>
        <v>0.92592592592592593</v>
      </c>
    </row>
    <row r="13" spans="1:3" x14ac:dyDescent="0.3">
      <c r="A13" s="5" t="s">
        <v>29</v>
      </c>
      <c r="B13" s="3" t="s">
        <v>30</v>
      </c>
      <c r="C13" s="3">
        <f>((B4)-(B8))/(3*B5)</f>
        <v>1.0185185185185186</v>
      </c>
    </row>
    <row r="14" spans="1:3" x14ac:dyDescent="0.3">
      <c r="A14" s="5" t="s">
        <v>31</v>
      </c>
      <c r="B14" s="3" t="s">
        <v>32</v>
      </c>
      <c r="C14" s="3">
        <f>((B9)-(B4))/(3*B5)</f>
        <v>0.83333333333333337</v>
      </c>
    </row>
    <row r="15" spans="1:3" x14ac:dyDescent="0.3">
      <c r="A15" s="5" t="s">
        <v>33</v>
      </c>
      <c r="B15" s="3" t="s">
        <v>34</v>
      </c>
      <c r="C15" s="3">
        <f>MIN(C14,C13)</f>
        <v>0.83333333333333337</v>
      </c>
    </row>
    <row r="16" spans="1:3" x14ac:dyDescent="0.3">
      <c r="A16" s="5" t="s">
        <v>35</v>
      </c>
      <c r="B16" s="3" t="s">
        <v>36</v>
      </c>
      <c r="C16" s="3">
        <f>((B9)-(B8))/(6*SQRT(B5^2+((B4)-(B7))^2))</f>
        <v>0.89214621262031535</v>
      </c>
    </row>
    <row r="19" spans="1:2" x14ac:dyDescent="0.3">
      <c r="A19" s="4" t="s">
        <v>37</v>
      </c>
    </row>
    <row r="20" spans="1:2" x14ac:dyDescent="0.3">
      <c r="A20" t="s">
        <v>38</v>
      </c>
      <c r="B20" t="str">
        <f>IF(ABS(C12-C15)&lt;0.05,"Proceso centrado","Proceso descentrado")</f>
        <v>Proceso descentrado</v>
      </c>
    </row>
    <row r="21" spans="1:2" x14ac:dyDescent="0.3">
      <c r="A21" t="s">
        <v>39</v>
      </c>
      <c r="B21" t="str">
        <f>IF(C15&lt;1,"No capaz",IF(C15&lt;1.33,"Capaz marginal","Capaz"))</f>
        <v>No capaz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8"/>
  <sheetViews>
    <sheetView workbookViewId="0"/>
  </sheetViews>
  <sheetFormatPr baseColWidth="10" defaultColWidth="8.88671875" defaultRowHeight="14.4" x14ac:dyDescent="0.3"/>
  <cols>
    <col min="1" max="1" width="10" customWidth="1"/>
    <col min="2" max="5" width="7" customWidth="1"/>
    <col min="6" max="6" width="9" customWidth="1"/>
    <col min="7" max="7" width="7" customWidth="1"/>
    <col min="8" max="8" width="3" customWidth="1"/>
    <col min="9" max="9" width="26" customWidth="1"/>
    <col min="10" max="10" width="10" customWidth="1"/>
    <col min="11" max="11" width="2" customWidth="1"/>
    <col min="12" max="12" width="10" customWidth="1"/>
    <col min="13" max="16" width="8" customWidth="1"/>
  </cols>
  <sheetData>
    <row r="1" spans="1:16" ht="18" x14ac:dyDescent="0.35">
      <c r="A1" s="1" t="s">
        <v>40</v>
      </c>
    </row>
    <row r="3" spans="1:16" x14ac:dyDescent="0.3">
      <c r="A3" s="2" t="s">
        <v>41</v>
      </c>
      <c r="B3" s="2" t="s">
        <v>42</v>
      </c>
      <c r="C3" s="2" t="s">
        <v>43</v>
      </c>
      <c r="D3" s="2" t="s">
        <v>44</v>
      </c>
      <c r="E3" s="2" t="s">
        <v>45</v>
      </c>
      <c r="F3" s="2" t="s">
        <v>46</v>
      </c>
      <c r="G3" s="2" t="s">
        <v>47</v>
      </c>
      <c r="I3" s="2" t="s">
        <v>3</v>
      </c>
      <c r="J3" s="2" t="s">
        <v>4</v>
      </c>
      <c r="L3" s="2" t="s">
        <v>41</v>
      </c>
      <c r="M3" s="2" t="s">
        <v>46</v>
      </c>
      <c r="N3" s="2" t="s">
        <v>7</v>
      </c>
      <c r="O3" s="2" t="s">
        <v>48</v>
      </c>
      <c r="P3" s="2" t="s">
        <v>9</v>
      </c>
    </row>
    <row r="4" spans="1:16" x14ac:dyDescent="0.3">
      <c r="A4" s="3">
        <v>1</v>
      </c>
      <c r="B4" s="3">
        <v>21.8</v>
      </c>
      <c r="C4" s="3">
        <v>22.1</v>
      </c>
      <c r="D4" s="3">
        <v>21.9</v>
      </c>
      <c r="E4" s="3">
        <v>22</v>
      </c>
      <c r="F4" s="3">
        <f t="shared" ref="F4:F18" si="0">AVERAGE(B4:E4)</f>
        <v>21.950000000000003</v>
      </c>
      <c r="G4" s="3">
        <f t="shared" ref="G4:G18" si="1">MAX(B4:E4)-MIN(B4:E4)</f>
        <v>0.30000000000000071</v>
      </c>
      <c r="I4" s="4" t="s">
        <v>49</v>
      </c>
      <c r="J4">
        <v>4</v>
      </c>
      <c r="L4" s="3">
        <f t="shared" ref="L4:L18" si="2">A4</f>
        <v>1</v>
      </c>
      <c r="M4" s="3">
        <f t="shared" ref="M4:M18" si="3">F4</f>
        <v>21.950000000000003</v>
      </c>
      <c r="N4" s="3">
        <f t="shared" ref="N4:N18" si="4">$J$10</f>
        <v>22.680226666666663</v>
      </c>
      <c r="O4" s="3">
        <f t="shared" ref="O4:O18" si="5">$J$12</f>
        <v>22.456666666666663</v>
      </c>
      <c r="P4" s="3">
        <f t="shared" ref="P4:P18" si="6">$J$11</f>
        <v>22.233106666666664</v>
      </c>
    </row>
    <row r="5" spans="1:16" x14ac:dyDescent="0.3">
      <c r="A5" s="3">
        <v>2</v>
      </c>
      <c r="B5" s="3">
        <v>22</v>
      </c>
      <c r="C5" s="3">
        <v>21.9</v>
      </c>
      <c r="D5" s="3">
        <v>22.1</v>
      </c>
      <c r="E5" s="3">
        <v>22</v>
      </c>
      <c r="F5" s="3">
        <f t="shared" si="0"/>
        <v>22</v>
      </c>
      <c r="G5" s="3">
        <f t="shared" si="1"/>
        <v>0.20000000000000284</v>
      </c>
      <c r="I5" s="4" t="s">
        <v>50</v>
      </c>
      <c r="J5">
        <v>0.72899999999999998</v>
      </c>
      <c r="L5" s="3">
        <f t="shared" si="2"/>
        <v>2</v>
      </c>
      <c r="M5" s="3">
        <f t="shared" si="3"/>
        <v>22</v>
      </c>
      <c r="N5" s="3">
        <f t="shared" si="4"/>
        <v>22.680226666666663</v>
      </c>
      <c r="O5" s="3">
        <f t="shared" si="5"/>
        <v>22.456666666666663</v>
      </c>
      <c r="P5" s="3">
        <f t="shared" si="6"/>
        <v>22.233106666666664</v>
      </c>
    </row>
    <row r="6" spans="1:16" x14ac:dyDescent="0.3">
      <c r="A6" s="3">
        <v>3</v>
      </c>
      <c r="B6" s="3">
        <v>21.9</v>
      </c>
      <c r="C6" s="3">
        <v>22.2</v>
      </c>
      <c r="D6" s="3">
        <v>22</v>
      </c>
      <c r="E6" s="3">
        <v>21.8</v>
      </c>
      <c r="F6" s="3">
        <f t="shared" si="0"/>
        <v>21.974999999999998</v>
      </c>
      <c r="G6" s="3">
        <f t="shared" si="1"/>
        <v>0.39999999999999858</v>
      </c>
      <c r="I6" s="4" t="s">
        <v>51</v>
      </c>
      <c r="J6">
        <v>0</v>
      </c>
      <c r="L6" s="3">
        <f t="shared" si="2"/>
        <v>3</v>
      </c>
      <c r="M6" s="3">
        <f t="shared" si="3"/>
        <v>21.974999999999998</v>
      </c>
      <c r="N6" s="3">
        <f t="shared" si="4"/>
        <v>22.680226666666663</v>
      </c>
      <c r="O6" s="3">
        <f t="shared" si="5"/>
        <v>22.456666666666663</v>
      </c>
      <c r="P6" s="3">
        <f t="shared" si="6"/>
        <v>22.233106666666664</v>
      </c>
    </row>
    <row r="7" spans="1:16" x14ac:dyDescent="0.3">
      <c r="A7" s="3">
        <v>4</v>
      </c>
      <c r="B7" s="3">
        <v>22.1</v>
      </c>
      <c r="C7" s="3">
        <v>22</v>
      </c>
      <c r="D7" s="3">
        <v>21.9</v>
      </c>
      <c r="E7" s="3">
        <v>22.2</v>
      </c>
      <c r="F7" s="3">
        <f t="shared" si="0"/>
        <v>22.05</v>
      </c>
      <c r="G7" s="3">
        <f t="shared" si="1"/>
        <v>0.30000000000000071</v>
      </c>
      <c r="I7" s="4" t="s">
        <v>52</v>
      </c>
      <c r="J7">
        <v>2.282</v>
      </c>
      <c r="L7" s="3">
        <f t="shared" si="2"/>
        <v>4</v>
      </c>
      <c r="M7" s="3">
        <f t="shared" si="3"/>
        <v>22.05</v>
      </c>
      <c r="N7" s="3">
        <f t="shared" si="4"/>
        <v>22.680226666666663</v>
      </c>
      <c r="O7" s="3">
        <f t="shared" si="5"/>
        <v>22.456666666666663</v>
      </c>
      <c r="P7" s="3">
        <f t="shared" si="6"/>
        <v>22.233106666666664</v>
      </c>
    </row>
    <row r="8" spans="1:16" x14ac:dyDescent="0.3">
      <c r="A8" s="3">
        <v>5</v>
      </c>
      <c r="B8" s="3">
        <v>22</v>
      </c>
      <c r="C8" s="3">
        <v>22.3</v>
      </c>
      <c r="D8" s="3">
        <v>22.1</v>
      </c>
      <c r="E8" s="3">
        <v>21.9</v>
      </c>
      <c r="F8" s="3">
        <f t="shared" si="0"/>
        <v>22.075000000000003</v>
      </c>
      <c r="G8" s="3">
        <f t="shared" si="1"/>
        <v>0.40000000000000213</v>
      </c>
      <c r="I8" s="4" t="s">
        <v>53</v>
      </c>
      <c r="J8">
        <f>AVERAGE(F4:F18)</f>
        <v>22.456666666666663</v>
      </c>
      <c r="L8" s="3">
        <f t="shared" si="2"/>
        <v>5</v>
      </c>
      <c r="M8" s="3">
        <f t="shared" si="3"/>
        <v>22.075000000000003</v>
      </c>
      <c r="N8" s="3">
        <f t="shared" si="4"/>
        <v>22.680226666666663</v>
      </c>
      <c r="O8" s="3">
        <f t="shared" si="5"/>
        <v>22.456666666666663</v>
      </c>
      <c r="P8" s="3">
        <f t="shared" si="6"/>
        <v>22.233106666666664</v>
      </c>
    </row>
    <row r="9" spans="1:16" x14ac:dyDescent="0.3">
      <c r="A9" s="3">
        <v>6</v>
      </c>
      <c r="B9" s="3">
        <v>22.2</v>
      </c>
      <c r="C9" s="3">
        <v>22.4</v>
      </c>
      <c r="D9" s="3">
        <v>22.1</v>
      </c>
      <c r="E9" s="3">
        <v>22.3</v>
      </c>
      <c r="F9" s="3">
        <f t="shared" si="0"/>
        <v>22.249999999999996</v>
      </c>
      <c r="G9" s="3">
        <f t="shared" si="1"/>
        <v>0.29999999999999716</v>
      </c>
      <c r="I9" s="4" t="s">
        <v>54</v>
      </c>
      <c r="J9">
        <f>AVERAGE(G4:G18)</f>
        <v>0.30666666666666675</v>
      </c>
      <c r="L9" s="3">
        <f t="shared" si="2"/>
        <v>6</v>
      </c>
      <c r="M9" s="3">
        <f t="shared" si="3"/>
        <v>22.249999999999996</v>
      </c>
      <c r="N9" s="3">
        <f t="shared" si="4"/>
        <v>22.680226666666663</v>
      </c>
      <c r="O9" s="3">
        <f t="shared" si="5"/>
        <v>22.456666666666663</v>
      </c>
      <c r="P9" s="3">
        <f t="shared" si="6"/>
        <v>22.233106666666664</v>
      </c>
    </row>
    <row r="10" spans="1:16" x14ac:dyDescent="0.3">
      <c r="A10" s="3">
        <v>7</v>
      </c>
      <c r="B10" s="3">
        <v>22.3</v>
      </c>
      <c r="C10" s="3">
        <v>22.1</v>
      </c>
      <c r="D10" s="3">
        <v>22.4</v>
      </c>
      <c r="E10" s="3">
        <v>22.2</v>
      </c>
      <c r="F10" s="3">
        <f t="shared" si="0"/>
        <v>22.250000000000004</v>
      </c>
      <c r="G10" s="3">
        <f t="shared" si="1"/>
        <v>0.29999999999999716</v>
      </c>
      <c r="I10" s="4" t="s">
        <v>55</v>
      </c>
      <c r="J10">
        <f>J8+J5*J9</f>
        <v>22.680226666666663</v>
      </c>
      <c r="L10" s="3">
        <f t="shared" si="2"/>
        <v>7</v>
      </c>
      <c r="M10" s="3">
        <f t="shared" si="3"/>
        <v>22.250000000000004</v>
      </c>
      <c r="N10" s="3">
        <f t="shared" si="4"/>
        <v>22.680226666666663</v>
      </c>
      <c r="O10" s="3">
        <f t="shared" si="5"/>
        <v>22.456666666666663</v>
      </c>
      <c r="P10" s="3">
        <f t="shared" si="6"/>
        <v>22.233106666666664</v>
      </c>
    </row>
    <row r="11" spans="1:16" x14ac:dyDescent="0.3">
      <c r="A11" s="3">
        <v>8</v>
      </c>
      <c r="B11" s="3">
        <v>22.5</v>
      </c>
      <c r="C11" s="3">
        <v>22.7</v>
      </c>
      <c r="D11" s="3">
        <v>22.4</v>
      </c>
      <c r="E11" s="3">
        <v>22.6</v>
      </c>
      <c r="F11" s="3">
        <f t="shared" si="0"/>
        <v>22.549999999999997</v>
      </c>
      <c r="G11" s="3">
        <f t="shared" si="1"/>
        <v>0.30000000000000071</v>
      </c>
      <c r="I11" s="4" t="s">
        <v>56</v>
      </c>
      <c r="J11">
        <f>J8-J5*J9</f>
        <v>22.233106666666664</v>
      </c>
      <c r="L11" s="3">
        <f t="shared" si="2"/>
        <v>8</v>
      </c>
      <c r="M11" s="3">
        <f t="shared" si="3"/>
        <v>22.549999999999997</v>
      </c>
      <c r="N11" s="3">
        <f t="shared" si="4"/>
        <v>22.680226666666663</v>
      </c>
      <c r="O11" s="3">
        <f t="shared" si="5"/>
        <v>22.456666666666663</v>
      </c>
      <c r="P11" s="3">
        <f t="shared" si="6"/>
        <v>22.233106666666664</v>
      </c>
    </row>
    <row r="12" spans="1:16" x14ac:dyDescent="0.3">
      <c r="A12" s="3">
        <v>9</v>
      </c>
      <c r="B12" s="3">
        <v>22.4</v>
      </c>
      <c r="C12" s="3">
        <v>22.6</v>
      </c>
      <c r="D12" s="3">
        <v>22.3</v>
      </c>
      <c r="E12" s="3">
        <v>22.5</v>
      </c>
      <c r="F12" s="3">
        <f t="shared" si="0"/>
        <v>22.45</v>
      </c>
      <c r="G12" s="3">
        <f t="shared" si="1"/>
        <v>0.30000000000000071</v>
      </c>
      <c r="I12" s="4" t="s">
        <v>57</v>
      </c>
      <c r="J12">
        <f>J8</f>
        <v>22.456666666666663</v>
      </c>
      <c r="L12" s="3">
        <f t="shared" si="2"/>
        <v>9</v>
      </c>
      <c r="M12" s="3">
        <f t="shared" si="3"/>
        <v>22.45</v>
      </c>
      <c r="N12" s="3">
        <f t="shared" si="4"/>
        <v>22.680226666666663</v>
      </c>
      <c r="O12" s="3">
        <f t="shared" si="5"/>
        <v>22.456666666666663</v>
      </c>
      <c r="P12" s="3">
        <f t="shared" si="6"/>
        <v>22.233106666666664</v>
      </c>
    </row>
    <row r="13" spans="1:16" x14ac:dyDescent="0.3">
      <c r="A13" s="3">
        <v>10</v>
      </c>
      <c r="B13" s="3">
        <v>22.7</v>
      </c>
      <c r="C13" s="3">
        <v>22.9</v>
      </c>
      <c r="D13" s="3">
        <v>22.6</v>
      </c>
      <c r="E13" s="3">
        <v>22.8</v>
      </c>
      <c r="F13" s="3">
        <f t="shared" si="0"/>
        <v>22.749999999999996</v>
      </c>
      <c r="G13" s="3">
        <f t="shared" si="1"/>
        <v>0.29999999999999716</v>
      </c>
      <c r="I13" s="4" t="s">
        <v>58</v>
      </c>
      <c r="J13">
        <f>J7*J9</f>
        <v>0.69981333333333351</v>
      </c>
      <c r="L13" s="3">
        <f t="shared" si="2"/>
        <v>10</v>
      </c>
      <c r="M13" s="3">
        <f t="shared" si="3"/>
        <v>22.749999999999996</v>
      </c>
      <c r="N13" s="3">
        <f t="shared" si="4"/>
        <v>22.680226666666663</v>
      </c>
      <c r="O13" s="3">
        <f t="shared" si="5"/>
        <v>22.456666666666663</v>
      </c>
      <c r="P13" s="3">
        <f t="shared" si="6"/>
        <v>22.233106666666664</v>
      </c>
    </row>
    <row r="14" spans="1:16" x14ac:dyDescent="0.3">
      <c r="A14" s="3">
        <v>11</v>
      </c>
      <c r="B14" s="3">
        <v>22.6</v>
      </c>
      <c r="C14" s="3">
        <v>22.4</v>
      </c>
      <c r="D14" s="3">
        <v>22.7</v>
      </c>
      <c r="E14" s="3">
        <v>22.5</v>
      </c>
      <c r="F14" s="3">
        <f t="shared" si="0"/>
        <v>22.55</v>
      </c>
      <c r="G14" s="3">
        <f t="shared" si="1"/>
        <v>0.30000000000000071</v>
      </c>
      <c r="I14" s="4" t="s">
        <v>59</v>
      </c>
      <c r="J14">
        <f>J6*J9</f>
        <v>0</v>
      </c>
      <c r="L14" s="3">
        <f t="shared" si="2"/>
        <v>11</v>
      </c>
      <c r="M14" s="3">
        <f t="shared" si="3"/>
        <v>22.55</v>
      </c>
      <c r="N14" s="3">
        <f t="shared" si="4"/>
        <v>22.680226666666663</v>
      </c>
      <c r="O14" s="3">
        <f t="shared" si="5"/>
        <v>22.456666666666663</v>
      </c>
      <c r="P14" s="3">
        <f t="shared" si="6"/>
        <v>22.233106666666664</v>
      </c>
    </row>
    <row r="15" spans="1:16" x14ac:dyDescent="0.3">
      <c r="A15" s="3">
        <v>12</v>
      </c>
      <c r="B15" s="3">
        <v>22.8</v>
      </c>
      <c r="C15" s="3">
        <v>23</v>
      </c>
      <c r="D15" s="3">
        <v>22.7</v>
      </c>
      <c r="E15" s="3">
        <v>22.9</v>
      </c>
      <c r="F15" s="3">
        <f t="shared" si="0"/>
        <v>22.85</v>
      </c>
      <c r="G15" s="3">
        <f t="shared" si="1"/>
        <v>0.30000000000000071</v>
      </c>
      <c r="I15" s="4" t="s">
        <v>60</v>
      </c>
      <c r="J15">
        <f>J9</f>
        <v>0.30666666666666675</v>
      </c>
      <c r="L15" s="3">
        <f t="shared" si="2"/>
        <v>12</v>
      </c>
      <c r="M15" s="3">
        <f t="shared" si="3"/>
        <v>22.85</v>
      </c>
      <c r="N15" s="3">
        <f t="shared" si="4"/>
        <v>22.680226666666663</v>
      </c>
      <c r="O15" s="3">
        <f t="shared" si="5"/>
        <v>22.456666666666663</v>
      </c>
      <c r="P15" s="3">
        <f t="shared" si="6"/>
        <v>22.233106666666664</v>
      </c>
    </row>
    <row r="16" spans="1:16" x14ac:dyDescent="0.3">
      <c r="A16" s="3">
        <v>13</v>
      </c>
      <c r="B16" s="3">
        <v>22.9</v>
      </c>
      <c r="C16" s="3">
        <v>23.1</v>
      </c>
      <c r="D16" s="3">
        <v>22.8</v>
      </c>
      <c r="E16" s="3">
        <v>23</v>
      </c>
      <c r="F16" s="3">
        <f t="shared" si="0"/>
        <v>22.95</v>
      </c>
      <c r="G16" s="3">
        <f t="shared" si="1"/>
        <v>0.30000000000000071</v>
      </c>
      <c r="L16" s="3">
        <f t="shared" si="2"/>
        <v>13</v>
      </c>
      <c r="M16" s="3">
        <f t="shared" si="3"/>
        <v>22.95</v>
      </c>
      <c r="N16" s="3">
        <f t="shared" si="4"/>
        <v>22.680226666666663</v>
      </c>
      <c r="O16" s="3">
        <f t="shared" si="5"/>
        <v>22.456666666666663</v>
      </c>
      <c r="P16" s="3">
        <f t="shared" si="6"/>
        <v>22.233106666666664</v>
      </c>
    </row>
    <row r="17" spans="1:16" x14ac:dyDescent="0.3">
      <c r="A17" s="3">
        <v>14</v>
      </c>
      <c r="B17" s="3">
        <v>23</v>
      </c>
      <c r="C17" s="3">
        <v>23.2</v>
      </c>
      <c r="D17" s="3">
        <v>22.9</v>
      </c>
      <c r="E17" s="3">
        <v>23.1</v>
      </c>
      <c r="F17" s="3">
        <f t="shared" si="0"/>
        <v>23.049999999999997</v>
      </c>
      <c r="G17" s="3">
        <f t="shared" si="1"/>
        <v>0.30000000000000071</v>
      </c>
      <c r="L17" s="3">
        <f t="shared" si="2"/>
        <v>14</v>
      </c>
      <c r="M17" s="3">
        <f t="shared" si="3"/>
        <v>23.049999999999997</v>
      </c>
      <c r="N17" s="3">
        <f t="shared" si="4"/>
        <v>22.680226666666663</v>
      </c>
      <c r="O17" s="3">
        <f t="shared" si="5"/>
        <v>22.456666666666663</v>
      </c>
      <c r="P17" s="3">
        <f t="shared" si="6"/>
        <v>22.233106666666664</v>
      </c>
    </row>
    <row r="18" spans="1:16" x14ac:dyDescent="0.3">
      <c r="A18" s="3">
        <v>15</v>
      </c>
      <c r="B18" s="3">
        <v>23.1</v>
      </c>
      <c r="C18" s="3">
        <v>23.3</v>
      </c>
      <c r="D18" s="3">
        <v>23</v>
      </c>
      <c r="E18" s="3">
        <v>23.2</v>
      </c>
      <c r="F18" s="3">
        <f t="shared" si="0"/>
        <v>23.150000000000002</v>
      </c>
      <c r="G18" s="3">
        <f t="shared" si="1"/>
        <v>0.30000000000000071</v>
      </c>
      <c r="L18" s="3">
        <f t="shared" si="2"/>
        <v>15</v>
      </c>
      <c r="M18" s="3">
        <f t="shared" si="3"/>
        <v>23.150000000000002</v>
      </c>
      <c r="N18" s="3">
        <f t="shared" si="4"/>
        <v>22.680226666666663</v>
      </c>
      <c r="O18" s="3">
        <f t="shared" si="5"/>
        <v>22.456666666666663</v>
      </c>
      <c r="P18" s="3">
        <f t="shared" si="6"/>
        <v>22.233106666666664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baseColWidth="10" defaultColWidth="8.88671875" defaultRowHeight="14.4" x14ac:dyDescent="0.3"/>
  <cols>
    <col min="1" max="1" width="40" customWidth="1"/>
    <col min="2" max="2" width="100" customWidth="1"/>
  </cols>
  <sheetData>
    <row r="1" spans="1:2" ht="18" x14ac:dyDescent="0.35">
      <c r="A1" s="1" t="s">
        <v>61</v>
      </c>
    </row>
    <row r="3" spans="1:2" x14ac:dyDescent="0.3">
      <c r="A3" s="2" t="s">
        <v>62</v>
      </c>
      <c r="B3" s="2" t="s">
        <v>63</v>
      </c>
    </row>
    <row r="4" spans="1:2" ht="90" customHeight="1" x14ac:dyDescent="0.3">
      <c r="A4" s="6" t="s">
        <v>64</v>
      </c>
      <c r="B4" s="6" t="s">
        <v>65</v>
      </c>
    </row>
    <row r="5" spans="1:2" ht="90" customHeight="1" x14ac:dyDescent="0.3">
      <c r="A5" s="6" t="s">
        <v>66</v>
      </c>
      <c r="B5" s="6" t="s">
        <v>67</v>
      </c>
    </row>
    <row r="6" spans="1:2" ht="90" customHeight="1" x14ac:dyDescent="0.3">
      <c r="A6" s="6" t="s">
        <v>68</v>
      </c>
      <c r="B6" s="6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P1 Carta np</vt:lpstr>
      <vt:lpstr>P2 Capacidad</vt:lpstr>
      <vt:lpstr>P3 Carta X-R</vt:lpstr>
      <vt:lpstr>P4 Analisis Critico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roman vivas</cp:lastModifiedBy>
  <dcterms:created xsi:type="dcterms:W3CDTF">2026-07-04T15:44:01Z</dcterms:created>
  <dcterms:modified xsi:type="dcterms:W3CDTF">2026-07-04T15:46:16Z</dcterms:modified>
</cp:coreProperties>
</file>