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 Carta np" sheetId="1" state="visible" r:id="rId1"/>
    <sheet name="P2 Capacidad" sheetId="2" state="visible" r:id="rId2"/>
    <sheet name="P3 Carta X-R" sheetId="3" state="visible" r:id="rId3"/>
    <sheet name="P4 Analisis Cri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Carta np — Discos fallidos por rack</a:t>
            </a:r>
          </a:p>
        </rich>
      </tx>
    </title>
    <plotArea>
      <lineChart>
        <grouping val="standard"/>
        <ser>
          <idx val="0"/>
          <order val="0"/>
          <tx>
            <strRef>
              <f>'P1 Carta np'!I3</f>
            </strRef>
          </tx>
          <spPr>
            <a:ln w="19050">
              <a:solidFill>
                <a:srgbClr val="2E5FA3"/>
              </a:solidFill>
              <a:prstDash val="solid"/>
            </a:ln>
          </spPr>
          <marker>
            <symbol val="circle"/>
            <size val="6"/>
            <spPr>
              <a:solidFill>
                <a:srgbClr val="2E5FA3"/>
              </a:solidFill>
              <a:ln>
                <a:prstDash val="solid"/>
              </a:ln>
            </spPr>
          </marker>
          <cat>
            <numRef>
              <f>'P1 Carta np'!$H$4:$H$23</f>
            </numRef>
          </cat>
          <val>
            <numRef>
              <f>'P1 Carta np'!$I$4:$I$23</f>
            </numRef>
          </val>
          <smooth val="0"/>
        </ser>
        <ser>
          <idx val="1"/>
          <order val="1"/>
          <tx>
            <strRef>
              <f>'P1 Carta np'!J3</f>
            </strRef>
          </tx>
          <spPr>
            <a:ln w="15875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'P1 Carta np'!$H$4:$H$23</f>
            </numRef>
          </cat>
          <val>
            <numRef>
              <f>'P1 Carta np'!$J$4:$J$23</f>
            </numRef>
          </val>
          <smooth val="0"/>
        </ser>
        <ser>
          <idx val="2"/>
          <order val="2"/>
          <tx>
            <strRef>
              <f>'P1 Carta np'!K3</f>
            </strRef>
          </tx>
          <spPr>
            <a:ln w="15875">
              <a:solidFill>
                <a:srgbClr val="1F7A4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'P1 Carta np'!$H$4:$H$23</f>
            </numRef>
          </cat>
          <val>
            <numRef>
              <f>'P1 Carta np'!$K$4:$K$23</f>
            </numRef>
          </val>
          <smooth val="0"/>
        </ser>
        <ser>
          <idx val="3"/>
          <order val="3"/>
          <tx>
            <strRef>
              <f>'P1 Carta np'!L3</f>
            </strRef>
          </tx>
          <spPr>
            <a:ln w="15875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'P1 Carta np'!$H$4:$H$23</f>
            </numRef>
          </cat>
          <val>
            <numRef>
              <f>'P1 Carta np'!$L$4:$L$23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Discos fallidos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Índices de capacidad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'P2 Capacidad'!C11</f>
            </strRef>
          </tx>
          <spPr>
            <a:ln>
              <a:prstDash val="solid"/>
            </a:ln>
          </spPr>
          <cat>
            <numRef>
              <f>'P2 Capacidad'!$A$12:$A$16</f>
            </numRef>
          </cat>
          <val>
            <numRef>
              <f>'P2 Capacidad'!$C$12:$C$16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Carta X̄ — Temperatura pasillo frío</a:t>
            </a:r>
          </a:p>
        </rich>
      </tx>
    </title>
    <plotArea>
      <lineChart>
        <grouping val="standard"/>
        <ser>
          <idx val="0"/>
          <order val="0"/>
          <tx>
            <strRef>
              <f>'P3 Carta X-R'!M3</f>
            </strRef>
          </tx>
          <spPr>
            <a:ln w="19050">
              <a:solidFill>
                <a:srgbClr val="2E5FA3"/>
              </a:solidFill>
              <a:prstDash val="solid"/>
            </a:ln>
          </spPr>
          <marker>
            <symbol val="circle"/>
            <size val="6"/>
            <spPr>
              <a:solidFill>
                <a:srgbClr val="2E5FA3"/>
              </a:solidFill>
              <a:ln>
                <a:prstDash val="solid"/>
              </a:ln>
            </spPr>
          </marker>
          <cat>
            <numRef>
              <f>'P3 Carta X-R'!$L$4:$L$18</f>
            </numRef>
          </cat>
          <val>
            <numRef>
              <f>'P3 Carta X-R'!$M$4:$M$18</f>
            </numRef>
          </val>
          <smooth val="0"/>
        </ser>
        <ser>
          <idx val="1"/>
          <order val="1"/>
          <tx>
            <strRef>
              <f>'P3 Carta X-R'!N3</f>
            </strRef>
          </tx>
          <spPr>
            <a:ln w="15875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'P3 Carta X-R'!$L$4:$L$18</f>
            </numRef>
          </cat>
          <val>
            <numRef>
              <f>'P3 Carta X-R'!$N$4:$N$18</f>
            </numRef>
          </val>
          <smooth val="0"/>
        </ser>
        <ser>
          <idx val="2"/>
          <order val="2"/>
          <tx>
            <strRef>
              <f>'P3 Carta X-R'!O3</f>
            </strRef>
          </tx>
          <spPr>
            <a:ln w="15875">
              <a:solidFill>
                <a:srgbClr val="1F7A4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'P3 Carta X-R'!$L$4:$L$18</f>
            </numRef>
          </cat>
          <val>
            <numRef>
              <f>'P3 Carta X-R'!$O$4:$O$18</f>
            </numRef>
          </val>
          <smooth val="0"/>
        </ser>
        <ser>
          <idx val="3"/>
          <order val="3"/>
          <tx>
            <strRef>
              <f>'P3 Carta X-R'!P3</f>
            </strRef>
          </tx>
          <spPr>
            <a:ln w="15875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'P3 Carta X-R'!$L$4:$L$18</f>
            </numRef>
          </cat>
          <val>
            <numRef>
              <f>'P3 Carta X-R'!$P$4:$P$18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Subgrupo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16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32" customWidth="1" min="4" max="4"/>
    <col width="32" customWidth="1" min="5" max="5"/>
    <col width="10" customWidth="1" min="6" max="6"/>
    <col width="4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PROBLEMA 1 — Discos duros fallidos por rack (carta np, n=240 constante)</t>
        </is>
      </c>
    </row>
    <row r="3">
      <c r="A3" s="2" t="inlineStr">
        <is>
          <t>Rack</t>
        </is>
      </c>
      <c r="B3" s="2" t="inlineStr">
        <is>
          <t>Discos fallidos</t>
        </is>
      </c>
      <c r="D3" s="2" t="inlineStr">
        <is>
          <t>Parámetro</t>
        </is>
      </c>
      <c r="E3" s="2" t="inlineStr">
        <is>
          <t>Valor</t>
        </is>
      </c>
      <c r="F3" s="2" t="inlineStr">
        <is>
          <t>Fórmula</t>
        </is>
      </c>
      <c r="H3" s="2" t="inlineStr">
        <is>
          <t>Rack</t>
        </is>
      </c>
      <c r="I3" s="2" t="inlineStr">
        <is>
          <t>Fallidos</t>
        </is>
      </c>
      <c r="J3" s="2" t="inlineStr">
        <is>
          <t>UCL</t>
        </is>
      </c>
      <c r="K3" s="2" t="inlineStr">
        <is>
          <t>CL(np̄)</t>
        </is>
      </c>
      <c r="L3" s="2" t="inlineStr">
        <is>
          <t>LCL</t>
        </is>
      </c>
    </row>
    <row r="4">
      <c r="A4" s="3" t="n">
        <v>1</v>
      </c>
      <c r="B4" s="3" t="n">
        <v>3</v>
      </c>
      <c r="D4" s="4" t="inlineStr">
        <is>
          <t>n (tamaño de muestra por rack)</t>
        </is>
      </c>
      <c r="E4" t="n">
        <v>240</v>
      </c>
      <c r="H4" s="3" t="n">
        <v>1</v>
      </c>
      <c r="I4" s="3">
        <f>B4</f>
        <v/>
      </c>
      <c r="J4" s="3">
        <f>$E$8</f>
        <v/>
      </c>
      <c r="K4" s="3">
        <f>$E$10</f>
        <v/>
      </c>
      <c r="L4" s="3">
        <f>$E$9</f>
        <v/>
      </c>
    </row>
    <row r="5">
      <c r="A5" s="3" t="n">
        <v>2</v>
      </c>
      <c r="B5" s="3" t="n">
        <v>5</v>
      </c>
      <c r="D5" s="4" t="inlineStr">
        <is>
          <t>k (número de racks)</t>
        </is>
      </c>
      <c r="E5">
        <f>COUNT(A4:A23)</f>
        <v/>
      </c>
      <c r="H5" s="3" t="n">
        <v>2</v>
      </c>
      <c r="I5" s="3">
        <f>B5</f>
        <v/>
      </c>
      <c r="J5" s="3">
        <f>$E$8</f>
        <v/>
      </c>
      <c r="K5" s="3">
        <f>$E$10</f>
        <v/>
      </c>
      <c r="L5" s="3">
        <f>$E$9</f>
        <v/>
      </c>
    </row>
    <row r="6">
      <c r="A6" s="3" t="n">
        <v>3</v>
      </c>
      <c r="B6" s="3" t="n">
        <v>2</v>
      </c>
      <c r="D6" s="4" t="inlineStr">
        <is>
          <t>np̄ (promedio de defectuosos)</t>
        </is>
      </c>
      <c r="E6">
        <f>AVERAGE(B4:B23)</f>
        <v/>
      </c>
      <c r="F6">
        <f>AVERAGE(B4:B23)</f>
        <v/>
      </c>
      <c r="H6" s="3" t="n">
        <v>3</v>
      </c>
      <c r="I6" s="3">
        <f>B6</f>
        <v/>
      </c>
      <c r="J6" s="3">
        <f>$E$8</f>
        <v/>
      </c>
      <c r="K6" s="3">
        <f>$E$10</f>
        <v/>
      </c>
      <c r="L6" s="3">
        <f>$E$9</f>
        <v/>
      </c>
    </row>
    <row r="7">
      <c r="A7" s="3" t="n">
        <v>4</v>
      </c>
      <c r="B7" s="3" t="n">
        <v>4</v>
      </c>
      <c r="D7" s="4" t="inlineStr">
        <is>
          <t>p̄ = np̄ / n</t>
        </is>
      </c>
      <c r="E7">
        <f>E6/E4</f>
        <v/>
      </c>
      <c r="H7" s="3" t="n">
        <v>4</v>
      </c>
      <c r="I7" s="3">
        <f>B7</f>
        <v/>
      </c>
      <c r="J7" s="3">
        <f>$E$8</f>
        <v/>
      </c>
      <c r="K7" s="3">
        <f>$E$10</f>
        <v/>
      </c>
      <c r="L7" s="3">
        <f>$E$9</f>
        <v/>
      </c>
    </row>
    <row r="8">
      <c r="A8" s="3" t="n">
        <v>5</v>
      </c>
      <c r="B8" s="3" t="n">
        <v>6</v>
      </c>
      <c r="D8" s="4" t="inlineStr">
        <is>
          <t>UCL = np̄ + 3·SQRT(np̄·(1-p̄))</t>
        </is>
      </c>
      <c r="E8">
        <f>E6+3*SQRT(E6*(1-E7))</f>
        <v/>
      </c>
      <c r="H8" s="3" t="n">
        <v>5</v>
      </c>
      <c r="I8" s="3">
        <f>B8</f>
        <v/>
      </c>
      <c r="J8" s="3">
        <f>$E$8</f>
        <v/>
      </c>
      <c r="K8" s="3">
        <f>$E$10</f>
        <v/>
      </c>
      <c r="L8" s="3">
        <f>$E$9</f>
        <v/>
      </c>
    </row>
    <row r="9">
      <c r="A9" s="3" t="n">
        <v>6</v>
      </c>
      <c r="B9" s="3" t="n">
        <v>3</v>
      </c>
      <c r="D9" s="4" t="inlineStr">
        <is>
          <t>LCL = MAX(0, np̄ - 3·SQRT(np̄·(1-p̄)))</t>
        </is>
      </c>
      <c r="E9">
        <f>MAX(0,E6-3*SQRT(E6*(1-E7)))</f>
        <v/>
      </c>
      <c r="H9" s="3" t="n">
        <v>6</v>
      </c>
      <c r="I9" s="3">
        <f>B9</f>
        <v/>
      </c>
      <c r="J9" s="3">
        <f>$E$8</f>
        <v/>
      </c>
      <c r="K9" s="3">
        <f>$E$10</f>
        <v/>
      </c>
      <c r="L9" s="3">
        <f>$E$9</f>
        <v/>
      </c>
    </row>
    <row r="10">
      <c r="A10" s="3" t="n">
        <v>7</v>
      </c>
      <c r="B10" s="3" t="n">
        <v>5</v>
      </c>
      <c r="D10" s="4" t="inlineStr">
        <is>
          <t>CL = np̄</t>
        </is>
      </c>
      <c r="E10">
        <f>E6</f>
        <v/>
      </c>
      <c r="H10" s="3" t="n">
        <v>7</v>
      </c>
      <c r="I10" s="3">
        <f>B10</f>
        <v/>
      </c>
      <c r="J10" s="3">
        <f>$E$8</f>
        <v/>
      </c>
      <c r="K10" s="3">
        <f>$E$10</f>
        <v/>
      </c>
      <c r="L10" s="3">
        <f>$E$9</f>
        <v/>
      </c>
    </row>
    <row r="11">
      <c r="A11" s="3" t="n">
        <v>8</v>
      </c>
      <c r="B11" s="3" t="n">
        <v>4</v>
      </c>
      <c r="H11" s="3" t="n">
        <v>8</v>
      </c>
      <c r="I11" s="3">
        <f>B11</f>
        <v/>
      </c>
      <c r="J11" s="3">
        <f>$E$8</f>
        <v/>
      </c>
      <c r="K11" s="3">
        <f>$E$10</f>
        <v/>
      </c>
      <c r="L11" s="3">
        <f>$E$9</f>
        <v/>
      </c>
    </row>
    <row r="12">
      <c r="A12" s="3" t="n">
        <v>9</v>
      </c>
      <c r="B12" s="3" t="n">
        <v>7</v>
      </c>
      <c r="H12" s="3" t="n">
        <v>9</v>
      </c>
      <c r="I12" s="3">
        <f>B12</f>
        <v/>
      </c>
      <c r="J12" s="3">
        <f>$E$8</f>
        <v/>
      </c>
      <c r="K12" s="3">
        <f>$E$10</f>
        <v/>
      </c>
      <c r="L12" s="3">
        <f>$E$9</f>
        <v/>
      </c>
    </row>
    <row r="13">
      <c r="A13" s="3" t="n">
        <v>10</v>
      </c>
      <c r="B13" s="3" t="n">
        <v>3</v>
      </c>
      <c r="H13" s="3" t="n">
        <v>10</v>
      </c>
      <c r="I13" s="3">
        <f>B13</f>
        <v/>
      </c>
      <c r="J13" s="3">
        <f>$E$8</f>
        <v/>
      </c>
      <c r="K13" s="3">
        <f>$E$10</f>
        <v/>
      </c>
      <c r="L13" s="3">
        <f>$E$9</f>
        <v/>
      </c>
    </row>
    <row r="14">
      <c r="A14" s="3" t="n">
        <v>11</v>
      </c>
      <c r="B14" s="3" t="n">
        <v>4</v>
      </c>
      <c r="H14" s="3" t="n">
        <v>11</v>
      </c>
      <c r="I14" s="3">
        <f>B14</f>
        <v/>
      </c>
      <c r="J14" s="3">
        <f>$E$8</f>
        <v/>
      </c>
      <c r="K14" s="3">
        <f>$E$10</f>
        <v/>
      </c>
      <c r="L14" s="3">
        <f>$E$9</f>
        <v/>
      </c>
    </row>
    <row r="15">
      <c r="A15" s="3" t="n">
        <v>12</v>
      </c>
      <c r="B15" s="3" t="n">
        <v>5</v>
      </c>
      <c r="H15" s="3" t="n">
        <v>12</v>
      </c>
      <c r="I15" s="3">
        <f>B15</f>
        <v/>
      </c>
      <c r="J15" s="3">
        <f>$E$8</f>
        <v/>
      </c>
      <c r="K15" s="3">
        <f>$E$10</f>
        <v/>
      </c>
      <c r="L15" s="3">
        <f>$E$9</f>
        <v/>
      </c>
    </row>
    <row r="16">
      <c r="A16" s="3" t="n">
        <v>13</v>
      </c>
      <c r="B16" s="3" t="n">
        <v>2</v>
      </c>
      <c r="H16" s="3" t="n">
        <v>13</v>
      </c>
      <c r="I16" s="3">
        <f>B16</f>
        <v/>
      </c>
      <c r="J16" s="3">
        <f>$E$8</f>
        <v/>
      </c>
      <c r="K16" s="3">
        <f>$E$10</f>
        <v/>
      </c>
      <c r="L16" s="3">
        <f>$E$9</f>
        <v/>
      </c>
    </row>
    <row r="17">
      <c r="A17" s="3" t="n">
        <v>14</v>
      </c>
      <c r="B17" s="3" t="n">
        <v>6</v>
      </c>
      <c r="H17" s="3" t="n">
        <v>14</v>
      </c>
      <c r="I17" s="3">
        <f>B17</f>
        <v/>
      </c>
      <c r="J17" s="3">
        <f>$E$8</f>
        <v/>
      </c>
      <c r="K17" s="3">
        <f>$E$10</f>
        <v/>
      </c>
      <c r="L17" s="3">
        <f>$E$9</f>
        <v/>
      </c>
    </row>
    <row r="18">
      <c r="A18" s="3" t="n">
        <v>15</v>
      </c>
      <c r="B18" s="3" t="n">
        <v>4</v>
      </c>
      <c r="H18" s="3" t="n">
        <v>15</v>
      </c>
      <c r="I18" s="3">
        <f>B18</f>
        <v/>
      </c>
      <c r="J18" s="3">
        <f>$E$8</f>
        <v/>
      </c>
      <c r="K18" s="3">
        <f>$E$10</f>
        <v/>
      </c>
      <c r="L18" s="3">
        <f>$E$9</f>
        <v/>
      </c>
    </row>
    <row r="19">
      <c r="A19" s="3" t="n">
        <v>16</v>
      </c>
      <c r="B19" s="3" t="n">
        <v>5</v>
      </c>
      <c r="H19" s="3" t="n">
        <v>16</v>
      </c>
      <c r="I19" s="3">
        <f>B19</f>
        <v/>
      </c>
      <c r="J19" s="3">
        <f>$E$8</f>
        <v/>
      </c>
      <c r="K19" s="3">
        <f>$E$10</f>
        <v/>
      </c>
      <c r="L19" s="3">
        <f>$E$9</f>
        <v/>
      </c>
    </row>
    <row r="20">
      <c r="A20" s="3" t="n">
        <v>17</v>
      </c>
      <c r="B20" s="3" t="n">
        <v>3</v>
      </c>
      <c r="H20" s="3" t="n">
        <v>17</v>
      </c>
      <c r="I20" s="3">
        <f>B20</f>
        <v/>
      </c>
      <c r="J20" s="3">
        <f>$E$8</f>
        <v/>
      </c>
      <c r="K20" s="3">
        <f>$E$10</f>
        <v/>
      </c>
      <c r="L20" s="3">
        <f>$E$9</f>
        <v/>
      </c>
    </row>
    <row r="21">
      <c r="A21" s="3" t="n">
        <v>18</v>
      </c>
      <c r="B21" s="3" t="n">
        <v>4</v>
      </c>
      <c r="H21" s="3" t="n">
        <v>18</v>
      </c>
      <c r="I21" s="3">
        <f>B21</f>
        <v/>
      </c>
      <c r="J21" s="3">
        <f>$E$8</f>
        <v/>
      </c>
      <c r="K21" s="3">
        <f>$E$10</f>
        <v/>
      </c>
      <c r="L21" s="3">
        <f>$E$9</f>
        <v/>
      </c>
    </row>
    <row r="22">
      <c r="A22" s="3" t="n">
        <v>19</v>
      </c>
      <c r="B22" s="3" t="n">
        <v>6</v>
      </c>
      <c r="H22" s="3" t="n">
        <v>19</v>
      </c>
      <c r="I22" s="3">
        <f>B22</f>
        <v/>
      </c>
      <c r="J22" s="3">
        <f>$E$8</f>
        <v/>
      </c>
      <c r="K22" s="3">
        <f>$E$10</f>
        <v/>
      </c>
      <c r="L22" s="3">
        <f>$E$9</f>
        <v/>
      </c>
    </row>
    <row r="23">
      <c r="A23" s="3" t="n">
        <v>20</v>
      </c>
      <c r="B23" s="3" t="n">
        <v>5</v>
      </c>
      <c r="H23" s="3" t="n">
        <v>20</v>
      </c>
      <c r="I23" s="3">
        <f>B23</f>
        <v/>
      </c>
      <c r="J23" s="3">
        <f>$E$8</f>
        <v/>
      </c>
      <c r="K23" s="3">
        <f>$E$10</f>
        <v/>
      </c>
      <c r="L23" s="3">
        <f>$E$9</f>
        <v/>
      </c>
    </row>
  </sheetData>
  <pageMargins left="0.75" right="0.75" top="1" bottom="1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</cols>
  <sheetData>
    <row r="1">
      <c r="A1" s="1" t="inlineStr">
        <is>
          <t>PROBLEMA 2 — Tiempo de respuesta de servidor (capacidad + índice Taguchi)</t>
        </is>
      </c>
    </row>
    <row r="3">
      <c r="A3" s="2" t="inlineStr">
        <is>
          <t>Estadístico</t>
        </is>
      </c>
      <c r="B3" s="2" t="inlineStr">
        <is>
          <t>Valor</t>
        </is>
      </c>
    </row>
    <row r="4">
      <c r="A4" s="4" t="inlineStr">
        <is>
          <t>Media (X̄)</t>
        </is>
      </c>
      <c r="B4" s="3" t="n">
        <v>105</v>
      </c>
    </row>
    <row r="5">
      <c r="A5" s="4" t="inlineStr">
        <is>
          <t>Desv. estándar (s)</t>
        </is>
      </c>
      <c r="B5" s="3" t="n">
        <v>18</v>
      </c>
    </row>
    <row r="6">
      <c r="A6" s="4" t="inlineStr">
        <is>
          <t>n</t>
        </is>
      </c>
      <c r="B6" s="3" t="n">
        <v>180</v>
      </c>
    </row>
    <row r="7">
      <c r="A7" s="4" t="inlineStr">
        <is>
          <t>Target (T)</t>
        </is>
      </c>
      <c r="B7" s="3" t="n">
        <v>100</v>
      </c>
    </row>
    <row r="8">
      <c r="A8" s="4" t="inlineStr">
        <is>
          <t>LSL</t>
        </is>
      </c>
      <c r="B8" s="3" t="n">
        <v>50</v>
      </c>
    </row>
    <row r="9">
      <c r="A9" s="4" t="inlineStr">
        <is>
          <t>USL</t>
        </is>
      </c>
      <c r="B9" s="3" t="n">
        <v>150</v>
      </c>
    </row>
    <row r="11">
      <c r="A11" s="2" t="inlineStr">
        <is>
          <t>Índice</t>
        </is>
      </c>
      <c r="B11" s="2" t="inlineStr">
        <is>
          <t>Fórmula</t>
        </is>
      </c>
      <c r="C11" s="2" t="inlineStr">
        <is>
          <t>Resultado</t>
        </is>
      </c>
    </row>
    <row r="12">
      <c r="A12" s="5" t="inlineStr">
        <is>
          <t>Cp</t>
        </is>
      </c>
      <c r="B12" s="3" t="inlineStr">
        <is>
          <t>(USL-LSL)/(6·s)</t>
        </is>
      </c>
      <c r="C12" s="3">
        <f>((B9)-(B8))/(6*B5)</f>
        <v/>
      </c>
    </row>
    <row r="13">
      <c r="A13" s="5" t="inlineStr">
        <is>
          <t>Cpl (Cpi)</t>
        </is>
      </c>
      <c r="B13" s="3" t="inlineStr">
        <is>
          <t>(X̄-LSL)/(3·s)</t>
        </is>
      </c>
      <c r="C13" s="3">
        <f>((B4)-(B8))/(3*B5)</f>
        <v/>
      </c>
    </row>
    <row r="14">
      <c r="A14" s="5" t="inlineStr">
        <is>
          <t>Cpu (Cps)</t>
        </is>
      </c>
      <c r="B14" s="3" t="inlineStr">
        <is>
          <t>(USL-X̄)/(3·s)</t>
        </is>
      </c>
      <c r="C14" s="3">
        <f>((B9)-(B4))/(3*B5)</f>
        <v/>
      </c>
    </row>
    <row r="15">
      <c r="A15" s="5" t="inlineStr">
        <is>
          <t>Cpk</t>
        </is>
      </c>
      <c r="B15" s="3" t="inlineStr">
        <is>
          <t>MIN(Cpu,Cpl)</t>
        </is>
      </c>
      <c r="C15" s="3">
        <f>MIN(C14,C13)</f>
        <v/>
      </c>
    </row>
    <row r="16">
      <c r="A16" s="5" t="inlineStr">
        <is>
          <t>Cpm (Taguchi)</t>
        </is>
      </c>
      <c r="B16" s="3" t="inlineStr">
        <is>
          <t>(USL-LSL)/(6·SQRT(s²+(X̄-T)²))</t>
        </is>
      </c>
      <c r="C16" s="3">
        <f>((B9)-(B8))/(6*SQRT(B5^2+((B4)-(B7))^2))</f>
        <v/>
      </c>
    </row>
    <row r="19">
      <c r="A19" s="4" t="inlineStr">
        <is>
          <t>Diagnóstico rápido</t>
        </is>
      </c>
    </row>
    <row r="20">
      <c r="A20" t="inlineStr">
        <is>
          <t>Cp vs Cpk</t>
        </is>
      </c>
      <c r="B20">
        <f>IF(ABS(C12-C15)&lt;0.05,"Proceso centrado","Proceso descentrado")</f>
        <v/>
      </c>
    </row>
    <row r="21">
      <c r="A21" t="inlineStr">
        <is>
          <t>Nivel de capacidad (Cpk)</t>
        </is>
      </c>
      <c r="B21">
        <f>IF(C15&lt;1,"No capaz",IF(C15&lt;1.33,"Capaz marginal","Capaz"))</f>
        <v/>
      </c>
    </row>
  </sheetData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7" customWidth="1" min="7" max="7"/>
    <col width="3" customWidth="1" min="8" max="8"/>
    <col width="26" customWidth="1" min="9" max="9"/>
    <col width="10" customWidth="1" min="10" max="10"/>
    <col width="2" customWidth="1" min="11" max="11"/>
    <col width="10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PROBLEMA 3 — Temperatura pasillo frío (carta X̄-R, n=4)</t>
        </is>
      </c>
    </row>
    <row r="3">
      <c r="A3" s="2" t="inlineStr">
        <is>
          <t>Subgrupo</t>
        </is>
      </c>
      <c r="B3" s="2" t="inlineStr">
        <is>
          <t>X1</t>
        </is>
      </c>
      <c r="C3" s="2" t="inlineStr">
        <is>
          <t>X2</t>
        </is>
      </c>
      <c r="D3" s="2" t="inlineStr">
        <is>
          <t>X3</t>
        </is>
      </c>
      <c r="E3" s="2" t="inlineStr">
        <is>
          <t>X4</t>
        </is>
      </c>
      <c r="F3" s="2" t="inlineStr">
        <is>
          <t>X̄</t>
        </is>
      </c>
      <c r="G3" s="2" t="inlineStr">
        <is>
          <t>R</t>
        </is>
      </c>
      <c r="I3" s="2" t="inlineStr">
        <is>
          <t>Parámetro</t>
        </is>
      </c>
      <c r="J3" s="2" t="inlineStr">
        <is>
          <t>Valor</t>
        </is>
      </c>
      <c r="L3" s="2" t="inlineStr">
        <is>
          <t>Subgrupo</t>
        </is>
      </c>
      <c r="M3" s="2" t="inlineStr">
        <is>
          <t>X̄</t>
        </is>
      </c>
      <c r="N3" s="2" t="inlineStr">
        <is>
          <t>UCL</t>
        </is>
      </c>
      <c r="O3" s="2" t="inlineStr">
        <is>
          <t>CL</t>
        </is>
      </c>
      <c r="P3" s="2" t="inlineStr">
        <is>
          <t>LCL</t>
        </is>
      </c>
    </row>
    <row r="4">
      <c r="A4" s="3" t="n">
        <v>1</v>
      </c>
      <c r="B4" s="3" t="n">
        <v>21.8</v>
      </c>
      <c r="C4" s="3" t="n">
        <v>22.1</v>
      </c>
      <c r="D4" s="3" t="n">
        <v>21.9</v>
      </c>
      <c r="E4" s="3" t="n">
        <v>22</v>
      </c>
      <c r="F4" s="3">
        <f>AVERAGE(B4:E4)</f>
        <v/>
      </c>
      <c r="G4" s="3">
        <f>MAX(B4:E4)-MIN(B4:E4)</f>
        <v/>
      </c>
      <c r="I4" s="4" t="inlineStr">
        <is>
          <t>n (tamaño subgrupo)</t>
        </is>
      </c>
      <c r="J4" t="n">
        <v>4</v>
      </c>
      <c r="L4" s="3">
        <f>A4</f>
        <v/>
      </c>
      <c r="M4" s="3">
        <f>F4</f>
        <v/>
      </c>
      <c r="N4" s="3">
        <f>$J$10</f>
        <v/>
      </c>
      <c r="O4" s="3">
        <f>$J$12</f>
        <v/>
      </c>
      <c r="P4" s="3">
        <f>$J$11</f>
        <v/>
      </c>
    </row>
    <row r="5">
      <c r="A5" s="3" t="n">
        <v>2</v>
      </c>
      <c r="B5" s="3" t="n">
        <v>22</v>
      </c>
      <c r="C5" s="3" t="n">
        <v>21.9</v>
      </c>
      <c r="D5" s="3" t="n">
        <v>22.1</v>
      </c>
      <c r="E5" s="3" t="n">
        <v>22</v>
      </c>
      <c r="F5" s="3">
        <f>AVERAGE(B5:E5)</f>
        <v/>
      </c>
      <c r="G5" s="3">
        <f>MAX(B5:E5)-MIN(B5:E5)</f>
        <v/>
      </c>
      <c r="I5" s="4" t="inlineStr">
        <is>
          <t>A2 (n=4)</t>
        </is>
      </c>
      <c r="J5" t="n">
        <v>0.729</v>
      </c>
      <c r="L5" s="3">
        <f>A5</f>
        <v/>
      </c>
      <c r="M5" s="3">
        <f>F5</f>
        <v/>
      </c>
      <c r="N5" s="3">
        <f>$J$10</f>
        <v/>
      </c>
      <c r="O5" s="3">
        <f>$J$12</f>
        <v/>
      </c>
      <c r="P5" s="3">
        <f>$J$11</f>
        <v/>
      </c>
    </row>
    <row r="6">
      <c r="A6" s="3" t="n">
        <v>3</v>
      </c>
      <c r="B6" s="3" t="n">
        <v>21.9</v>
      </c>
      <c r="C6" s="3" t="n">
        <v>22.2</v>
      </c>
      <c r="D6" s="3" t="n">
        <v>22</v>
      </c>
      <c r="E6" s="3" t="n">
        <v>21.8</v>
      </c>
      <c r="F6" s="3">
        <f>AVERAGE(B6:E6)</f>
        <v/>
      </c>
      <c r="G6" s="3">
        <f>MAX(B6:E6)-MIN(B6:E6)</f>
        <v/>
      </c>
      <c r="I6" s="4" t="inlineStr">
        <is>
          <t>D3 (n=4)</t>
        </is>
      </c>
      <c r="J6" t="n">
        <v>0</v>
      </c>
      <c r="L6" s="3">
        <f>A6</f>
        <v/>
      </c>
      <c r="M6" s="3">
        <f>F6</f>
        <v/>
      </c>
      <c r="N6" s="3">
        <f>$J$10</f>
        <v/>
      </c>
      <c r="O6" s="3">
        <f>$J$12</f>
        <v/>
      </c>
      <c r="P6" s="3">
        <f>$J$11</f>
        <v/>
      </c>
    </row>
    <row r="7">
      <c r="A7" s="3" t="n">
        <v>4</v>
      </c>
      <c r="B7" s="3" t="n">
        <v>22.1</v>
      </c>
      <c r="C7" s="3" t="n">
        <v>22</v>
      </c>
      <c r="D7" s="3" t="n">
        <v>21.9</v>
      </c>
      <c r="E7" s="3" t="n">
        <v>22.2</v>
      </c>
      <c r="F7" s="3">
        <f>AVERAGE(B7:E7)</f>
        <v/>
      </c>
      <c r="G7" s="3">
        <f>MAX(B7:E7)-MIN(B7:E7)</f>
        <v/>
      </c>
      <c r="I7" s="4" t="inlineStr">
        <is>
          <t>D4 (n=4)</t>
        </is>
      </c>
      <c r="J7" t="n">
        <v>2.282</v>
      </c>
      <c r="L7" s="3">
        <f>A7</f>
        <v/>
      </c>
      <c r="M7" s="3">
        <f>F7</f>
        <v/>
      </c>
      <c r="N7" s="3">
        <f>$J$10</f>
        <v/>
      </c>
      <c r="O7" s="3">
        <f>$J$12</f>
        <v/>
      </c>
      <c r="P7" s="3">
        <f>$J$11</f>
        <v/>
      </c>
    </row>
    <row r="8">
      <c r="A8" s="3" t="n">
        <v>5</v>
      </c>
      <c r="B8" s="3" t="n">
        <v>22</v>
      </c>
      <c r="C8" s="3" t="n">
        <v>22.3</v>
      </c>
      <c r="D8" s="3" t="n">
        <v>22.1</v>
      </c>
      <c r="E8" s="3" t="n">
        <v>21.9</v>
      </c>
      <c r="F8" s="3">
        <f>AVERAGE(B8:E8)</f>
        <v/>
      </c>
      <c r="G8" s="3">
        <f>MAX(B8:E8)-MIN(B8:E8)</f>
        <v/>
      </c>
      <c r="I8" s="4" t="inlineStr">
        <is>
          <t>X̿ (promedio de X̄)</t>
        </is>
      </c>
      <c r="J8">
        <f>AVERAGE(F4:F18)</f>
        <v/>
      </c>
      <c r="L8" s="3">
        <f>A8</f>
        <v/>
      </c>
      <c r="M8" s="3">
        <f>F8</f>
        <v/>
      </c>
      <c r="N8" s="3">
        <f>$J$10</f>
        <v/>
      </c>
      <c r="O8" s="3">
        <f>$J$12</f>
        <v/>
      </c>
      <c r="P8" s="3">
        <f>$J$11</f>
        <v/>
      </c>
    </row>
    <row r="9">
      <c r="A9" s="3" t="n">
        <v>6</v>
      </c>
      <c r="B9" s="3" t="n">
        <v>22.2</v>
      </c>
      <c r="C9" s="3" t="n">
        <v>22.4</v>
      </c>
      <c r="D9" s="3" t="n">
        <v>22.1</v>
      </c>
      <c r="E9" s="3" t="n">
        <v>22.3</v>
      </c>
      <c r="F9" s="3">
        <f>AVERAGE(B9:E9)</f>
        <v/>
      </c>
      <c r="G9" s="3">
        <f>MAX(B9:E9)-MIN(B9:E9)</f>
        <v/>
      </c>
      <c r="I9" s="4" t="inlineStr">
        <is>
          <t>R̄ (promedio de R)</t>
        </is>
      </c>
      <c r="J9">
        <f>AVERAGE(G4:G18)</f>
        <v/>
      </c>
      <c r="L9" s="3">
        <f>A9</f>
        <v/>
      </c>
      <c r="M9" s="3">
        <f>F9</f>
        <v/>
      </c>
      <c r="N9" s="3">
        <f>$J$10</f>
        <v/>
      </c>
      <c r="O9" s="3">
        <f>$J$12</f>
        <v/>
      </c>
      <c r="P9" s="3">
        <f>$J$11</f>
        <v/>
      </c>
    </row>
    <row r="10">
      <c r="A10" s="3" t="n">
        <v>7</v>
      </c>
      <c r="B10" s="3" t="n">
        <v>22.3</v>
      </c>
      <c r="C10" s="3" t="n">
        <v>22.1</v>
      </c>
      <c r="D10" s="3" t="n">
        <v>22.4</v>
      </c>
      <c r="E10" s="3" t="n">
        <v>22.2</v>
      </c>
      <c r="F10" s="3">
        <f>AVERAGE(B10:E10)</f>
        <v/>
      </c>
      <c r="G10" s="3">
        <f>MAX(B10:E10)-MIN(B10:E10)</f>
        <v/>
      </c>
      <c r="I10" s="4" t="inlineStr">
        <is>
          <t>UCL X̄ = X̿ + A2·R̄</t>
        </is>
      </c>
      <c r="J10">
        <f>J8+J5*J9</f>
        <v/>
      </c>
      <c r="L10" s="3">
        <f>A10</f>
        <v/>
      </c>
      <c r="M10" s="3">
        <f>F10</f>
        <v/>
      </c>
      <c r="N10" s="3">
        <f>$J$10</f>
        <v/>
      </c>
      <c r="O10" s="3">
        <f>$J$12</f>
        <v/>
      </c>
      <c r="P10" s="3">
        <f>$J$11</f>
        <v/>
      </c>
    </row>
    <row r="11">
      <c r="A11" s="3" t="n">
        <v>8</v>
      </c>
      <c r="B11" s="3" t="n">
        <v>22.5</v>
      </c>
      <c r="C11" s="3" t="n">
        <v>22.7</v>
      </c>
      <c r="D11" s="3" t="n">
        <v>22.4</v>
      </c>
      <c r="E11" s="3" t="n">
        <v>22.6</v>
      </c>
      <c r="F11" s="3">
        <f>AVERAGE(B11:E11)</f>
        <v/>
      </c>
      <c r="G11" s="3">
        <f>MAX(B11:E11)-MIN(B11:E11)</f>
        <v/>
      </c>
      <c r="I11" s="4" t="inlineStr">
        <is>
          <t>LCL X̄ = X̿ - A2·R̄</t>
        </is>
      </c>
      <c r="J11">
        <f>J8-J5*J9</f>
        <v/>
      </c>
      <c r="L11" s="3">
        <f>A11</f>
        <v/>
      </c>
      <c r="M11" s="3">
        <f>F11</f>
        <v/>
      </c>
      <c r="N11" s="3">
        <f>$J$10</f>
        <v/>
      </c>
      <c r="O11" s="3">
        <f>$J$12</f>
        <v/>
      </c>
      <c r="P11" s="3">
        <f>$J$11</f>
        <v/>
      </c>
    </row>
    <row r="12">
      <c r="A12" s="3" t="n">
        <v>9</v>
      </c>
      <c r="B12" s="3" t="n">
        <v>22.4</v>
      </c>
      <c r="C12" s="3" t="n">
        <v>22.6</v>
      </c>
      <c r="D12" s="3" t="n">
        <v>22.3</v>
      </c>
      <c r="E12" s="3" t="n">
        <v>22.5</v>
      </c>
      <c r="F12" s="3">
        <f>AVERAGE(B12:E12)</f>
        <v/>
      </c>
      <c r="G12" s="3">
        <f>MAX(B12:E12)-MIN(B12:E12)</f>
        <v/>
      </c>
      <c r="I12" s="4" t="inlineStr">
        <is>
          <t>CL X̄ = X̿</t>
        </is>
      </c>
      <c r="J12">
        <f>J8</f>
        <v/>
      </c>
      <c r="L12" s="3">
        <f>A12</f>
        <v/>
      </c>
      <c r="M12" s="3">
        <f>F12</f>
        <v/>
      </c>
      <c r="N12" s="3">
        <f>$J$10</f>
        <v/>
      </c>
      <c r="O12" s="3">
        <f>$J$12</f>
        <v/>
      </c>
      <c r="P12" s="3">
        <f>$J$11</f>
        <v/>
      </c>
    </row>
    <row r="13">
      <c r="A13" s="3" t="n">
        <v>10</v>
      </c>
      <c r="B13" s="3" t="n">
        <v>22.7</v>
      </c>
      <c r="C13" s="3" t="n">
        <v>22.9</v>
      </c>
      <c r="D13" s="3" t="n">
        <v>22.6</v>
      </c>
      <c r="E13" s="3" t="n">
        <v>22.8</v>
      </c>
      <c r="F13" s="3">
        <f>AVERAGE(B13:E13)</f>
        <v/>
      </c>
      <c r="G13" s="3">
        <f>MAX(B13:E13)-MIN(B13:E13)</f>
        <v/>
      </c>
      <c r="I13" s="4" t="inlineStr">
        <is>
          <t>UCL R = D4·R̄</t>
        </is>
      </c>
      <c r="J13">
        <f>J7*J9</f>
        <v/>
      </c>
      <c r="L13" s="3">
        <f>A13</f>
        <v/>
      </c>
      <c r="M13" s="3">
        <f>F13</f>
        <v/>
      </c>
      <c r="N13" s="3">
        <f>$J$10</f>
        <v/>
      </c>
      <c r="O13" s="3">
        <f>$J$12</f>
        <v/>
      </c>
      <c r="P13" s="3">
        <f>$J$11</f>
        <v/>
      </c>
    </row>
    <row r="14">
      <c r="A14" s="3" t="n">
        <v>11</v>
      </c>
      <c r="B14" s="3" t="n">
        <v>22.6</v>
      </c>
      <c r="C14" s="3" t="n">
        <v>22.4</v>
      </c>
      <c r="D14" s="3" t="n">
        <v>22.7</v>
      </c>
      <c r="E14" s="3" t="n">
        <v>22.5</v>
      </c>
      <c r="F14" s="3">
        <f>AVERAGE(B14:E14)</f>
        <v/>
      </c>
      <c r="G14" s="3">
        <f>MAX(B14:E14)-MIN(B14:E14)</f>
        <v/>
      </c>
      <c r="I14" s="4" t="inlineStr">
        <is>
          <t>LCL R = D3·R̄</t>
        </is>
      </c>
      <c r="J14">
        <f>J6*J9</f>
        <v/>
      </c>
      <c r="L14" s="3">
        <f>A14</f>
        <v/>
      </c>
      <c r="M14" s="3">
        <f>F14</f>
        <v/>
      </c>
      <c r="N14" s="3">
        <f>$J$10</f>
        <v/>
      </c>
      <c r="O14" s="3">
        <f>$J$12</f>
        <v/>
      </c>
      <c r="P14" s="3">
        <f>$J$11</f>
        <v/>
      </c>
    </row>
    <row r="15">
      <c r="A15" s="3" t="n">
        <v>12</v>
      </c>
      <c r="B15" s="3" t="n">
        <v>22.8</v>
      </c>
      <c r="C15" s="3" t="n">
        <v>23</v>
      </c>
      <c r="D15" s="3" t="n">
        <v>22.7</v>
      </c>
      <c r="E15" s="3" t="n">
        <v>22.9</v>
      </c>
      <c r="F15" s="3">
        <f>AVERAGE(B15:E15)</f>
        <v/>
      </c>
      <c r="G15" s="3">
        <f>MAX(B15:E15)-MIN(B15:E15)</f>
        <v/>
      </c>
      <c r="I15" s="4" t="inlineStr">
        <is>
          <t>CL R = R̄</t>
        </is>
      </c>
      <c r="J15">
        <f>J9</f>
        <v/>
      </c>
      <c r="L15" s="3">
        <f>A15</f>
        <v/>
      </c>
      <c r="M15" s="3">
        <f>F15</f>
        <v/>
      </c>
      <c r="N15" s="3">
        <f>$J$10</f>
        <v/>
      </c>
      <c r="O15" s="3">
        <f>$J$12</f>
        <v/>
      </c>
      <c r="P15" s="3">
        <f>$J$11</f>
        <v/>
      </c>
    </row>
    <row r="16">
      <c r="A16" s="3" t="n">
        <v>13</v>
      </c>
      <c r="B16" s="3" t="n">
        <v>22.9</v>
      </c>
      <c r="C16" s="3" t="n">
        <v>23.1</v>
      </c>
      <c r="D16" s="3" t="n">
        <v>22.8</v>
      </c>
      <c r="E16" s="3" t="n">
        <v>23</v>
      </c>
      <c r="F16" s="3">
        <f>AVERAGE(B16:E16)</f>
        <v/>
      </c>
      <c r="G16" s="3">
        <f>MAX(B16:E16)-MIN(B16:E16)</f>
        <v/>
      </c>
      <c r="L16" s="3">
        <f>A16</f>
        <v/>
      </c>
      <c r="M16" s="3">
        <f>F16</f>
        <v/>
      </c>
      <c r="N16" s="3">
        <f>$J$10</f>
        <v/>
      </c>
      <c r="O16" s="3">
        <f>$J$12</f>
        <v/>
      </c>
      <c r="P16" s="3">
        <f>$J$11</f>
        <v/>
      </c>
    </row>
    <row r="17">
      <c r="A17" s="3" t="n">
        <v>14</v>
      </c>
      <c r="B17" s="3" t="n">
        <v>23</v>
      </c>
      <c r="C17" s="3" t="n">
        <v>23.2</v>
      </c>
      <c r="D17" s="3" t="n">
        <v>22.9</v>
      </c>
      <c r="E17" s="3" t="n">
        <v>23.1</v>
      </c>
      <c r="F17" s="3">
        <f>AVERAGE(B17:E17)</f>
        <v/>
      </c>
      <c r="G17" s="3">
        <f>MAX(B17:E17)-MIN(B17:E17)</f>
        <v/>
      </c>
      <c r="L17" s="3">
        <f>A17</f>
        <v/>
      </c>
      <c r="M17" s="3">
        <f>F17</f>
        <v/>
      </c>
      <c r="N17" s="3">
        <f>$J$10</f>
        <v/>
      </c>
      <c r="O17" s="3">
        <f>$J$12</f>
        <v/>
      </c>
      <c r="P17" s="3">
        <f>$J$11</f>
        <v/>
      </c>
    </row>
    <row r="18">
      <c r="A18" s="3" t="n">
        <v>15</v>
      </c>
      <c r="B18" s="3" t="n">
        <v>23.1</v>
      </c>
      <c r="C18" s="3" t="n">
        <v>23.3</v>
      </c>
      <c r="D18" s="3" t="n">
        <v>23</v>
      </c>
      <c r="E18" s="3" t="n">
        <v>23.2</v>
      </c>
      <c r="F18" s="3">
        <f>AVERAGE(B18:E18)</f>
        <v/>
      </c>
      <c r="G18" s="3">
        <f>MAX(B18:E18)-MIN(B18:E18)</f>
        <v/>
      </c>
      <c r="L18" s="3">
        <f>A18</f>
        <v/>
      </c>
      <c r="M18" s="3">
        <f>F18</f>
        <v/>
      </c>
      <c r="N18" s="3">
        <f>$J$10</f>
        <v/>
      </c>
      <c r="O18" s="3">
        <f>$J$12</f>
        <v/>
      </c>
      <c r="P18" s="3">
        <f>$J$11</f>
        <v/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PROBLEMA 4 — Análisis conceptual (sin datos de carta a graficar)</t>
        </is>
      </c>
    </row>
    <row r="3">
      <c r="A3" s="2" t="inlineStr">
        <is>
          <t>Sub-pregunta</t>
        </is>
      </c>
      <c r="B3" s="2" t="inlineStr">
        <is>
          <t>Respuesta breve</t>
        </is>
      </c>
    </row>
    <row r="4" ht="90" customHeight="1">
      <c r="A4" s="6" t="inlineStr">
        <is>
          <t>1. ¿Cpk alto pero fuera de control?</t>
        </is>
      </c>
      <c r="B4" s="6" t="inlineStr">
        <is>
          <t>Sí. Cpk usa la variación 'within-subgroup' (corto plazo) contra los límites de especificación; no verifica si el proceso está estadísticamente estable. Un servidor puede tener toda su variación dentro de LSL/USL (Cpk alto) y aun así mostrar una tendencia, tener un punto fuera de los límites de control, o rachas — es decir, causas especiales activas que Cpk no detecta porque solo compara dispersión vs. spec, no estabilidad en el tiempo.</t>
        </is>
      </c>
    </row>
    <row r="5" ht="90" customHeight="1">
      <c r="A5" s="6" t="inlineStr">
        <is>
          <t>2. Corto plazo (Cp/Cpk) vs largo plazo (Pp/Ppk)</t>
        </is>
      </c>
      <c r="B5" s="6" t="inlineStr">
        <is>
          <t>Cp/Cpk se calculan con la variación dentro de subgrupo (within), asumiendo que el proceso está en control estadístico en el momento del estudio — capacidad potencial de corto plazo. Pp/Ppk usan la desviación estándar global (overall) de todos los datos, capturando también la variación entre subgrupos (deriva, cambios de turno, degradación gradual). Para un SLA de uptime frente a clientes empresariales conviene reportar Pp/Ppk porque el cliente experimenta la variación real acumulada a lo largo de meses, no la variación idealizada de un subgrupo aislado.</t>
        </is>
      </c>
    </row>
    <row r="6" ht="90" customHeight="1">
      <c r="A6" s="6" t="inlineStr">
        <is>
          <t>3. Incidentes de seguridad por trimestre: ¿c o I-MR?</t>
        </is>
      </c>
      <c r="B6" s="6" t="inlineStr">
        <is>
          <t>Es un conteo de eventos raros (defectos) sin un denominador de 'éxito/fracaso' de tamaño fijo (no hay una base de 'n incidentes posibles por trimestre'), por lo que corresponde una carta c, no I-MR. I-MR asume una variable continua medida individualmente; aquí el dato es un conteo discreto de Poisson. Carta c: c̄=SUMA(incidentes)/k; UCL=c̄+3·RAIZ(c̄); LCL=MAX(0,c̄-3·RAIZ(c̄)).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2026-07-04T15:44:01Z</dcterms:created>
  <dcterms:modified xsi:type="dcterms:W3CDTF">2026-07-04T15:44:01Z</dcterms:modified>
</cp:coreProperties>
</file>